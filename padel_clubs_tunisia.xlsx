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ubs" sheetId="1" state="visible" r:id="rId3"/>
    <sheet name="By city" sheetId="2" state="visible" r:id="rId4"/>
    <sheet name="Also mentioned" sheetId="3" state="visible" r:id="rId5"/>
  </sheets>
  <definedNames>
    <definedName function="false" hidden="true" localSheetId="0" name="_xlnm._FilterDatabase" vbProcedure="false">Clubs!$A$4:$N$57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<sst xmlns="http://schemas.openxmlformats.org/spreadsheetml/2006/main" count="700" uniqueCount="287">
  <si>
    <t xml:space="preserve">Padel clubs in Tunisia — by region and city</t>
  </si>
  <si>
    <t xml:space="preserve">Source: Padelmesh club directory (padelmesh.com/fr/tn/clubs), checked 23 Oct 2026. Logo = link to the club's logo image. Phone numbers are as listed by the directory — confirm before relying on them.</t>
  </si>
  <si>
    <t xml:space="preserve">#</t>
  </si>
  <si>
    <t xml:space="preserve">Region</t>
  </si>
  <si>
    <t xml:space="preserve">City / area</t>
  </si>
  <si>
    <t xml:space="preserve">Club</t>
  </si>
  <si>
    <t xml:space="preserve">Courts</t>
  </si>
  <si>
    <t xml:space="preserve">Court type</t>
  </si>
  <si>
    <t xml:space="preserve">Address</t>
  </si>
  <si>
    <t xml:space="preserve">Phone</t>
  </si>
  <si>
    <t xml:space="preserve">Website / booking</t>
  </si>
  <si>
    <t xml:space="preserve">Facebook</t>
  </si>
  <si>
    <t xml:space="preserve">Instagram</t>
  </si>
  <si>
    <t xml:space="preserve">Opening hours</t>
  </si>
  <si>
    <t xml:space="preserve">Logo</t>
  </si>
  <si>
    <t xml:space="preserve">Directory page</t>
  </si>
  <si>
    <t xml:space="preserve">Grand Tunis</t>
  </si>
  <si>
    <t xml:space="preserve">Ariana</t>
  </si>
  <si>
    <t xml:space="preserve">Padel House</t>
  </si>
  <si>
    <t xml:space="preserve">Intérieur</t>
  </si>
  <si>
    <t xml:space="preserve">676 Avenue Jaafer, Sidi Amor, Ariana</t>
  </si>
  <si>
    <t xml:space="preserve">+216 22 383 383</t>
  </si>
  <si>
    <t xml:space="preserve">Website</t>
  </si>
  <si>
    <t xml:space="preserve">Tous les jours 08:00–02:00</t>
  </si>
  <si>
    <t xml:space="preserve">View logo</t>
  </si>
  <si>
    <t xml:space="preserve">Open</t>
  </si>
  <si>
    <t xml:space="preserve">Ariana (Borj Louzir)</t>
  </si>
  <si>
    <t xml:space="preserve">Padel Connection</t>
  </si>
  <si>
    <t xml:space="preserve">Intérieur + Extérieur</t>
  </si>
  <si>
    <t xml:space="preserve">06 Rue Sanhaja, Borj Louzir, Ariana</t>
  </si>
  <si>
    <t xml:space="preserve">+216 29 460 000</t>
  </si>
  <si>
    <t xml:space="preserve">—</t>
  </si>
  <si>
    <t xml:space="preserve">Tous les jours 06:00–00:00</t>
  </si>
  <si>
    <t xml:space="preserve">Ben Arous</t>
  </si>
  <si>
    <t xml:space="preserve">LOB Legends Club</t>
  </si>
  <si>
    <t xml:space="preserve">19 Rue Mercure, Ben Arous</t>
  </si>
  <si>
    <t xml:space="preserve">+216 24 041 133</t>
  </si>
  <si>
    <t xml:space="preserve">Tous les jours 06:30–02:00</t>
  </si>
  <si>
    <t xml:space="preserve">Carthage (Sidi Bou Saïd)</t>
  </si>
  <si>
    <t xml:space="preserve">Padel Club Sidi Bou</t>
  </si>
  <si>
    <t xml:space="preserve">Extérieur</t>
  </si>
  <si>
    <t xml:space="preserve">Av. 14 Janvier, Sidi Bou Saïd, Carthage</t>
  </si>
  <si>
    <t xml:space="preserve">+216 55 122 765</t>
  </si>
  <si>
    <t xml:space="preserve">Cebalat Ben Ammar</t>
  </si>
  <si>
    <t xml:space="preserve">Restart Padel</t>
  </si>
  <si>
    <t xml:space="preserve">Jardins d'El Menzah, Cebalat Ben Ammar</t>
  </si>
  <si>
    <t xml:space="preserve">+216 25 444 777</t>
  </si>
  <si>
    <t xml:space="preserve">Tous les jours 07:30–00:00</t>
  </si>
  <si>
    <t xml:space="preserve">El Mourouj</t>
  </si>
  <si>
    <t xml:space="preserve">Padel in Mourouj</t>
  </si>
  <si>
    <t xml:space="preserve">C36, El Mourouj</t>
  </si>
  <si>
    <t xml:space="preserve">+216 25 444 423 / +216 22 161 116</t>
  </si>
  <si>
    <t xml:space="preserve">24h/24, 7j/7</t>
  </si>
  <si>
    <t xml:space="preserve">Ezzahra</t>
  </si>
  <si>
    <t xml:space="preserve">Euphoria Padel Ezzahra</t>
  </si>
  <si>
    <t xml:space="preserve">GP1 Km 13, Ezzahra 2034</t>
  </si>
  <si>
    <t xml:space="preserve">+216 53 847 847</t>
  </si>
  <si>
    <t xml:space="preserve">Gammarth</t>
  </si>
  <si>
    <t xml:space="preserve">Padel Gammarth (Le Club)</t>
  </si>
  <si>
    <t xml:space="preserve">Zone touristique Cap Gammarth, Gammarth 2070</t>
  </si>
  <si>
    <t xml:space="preserve">+216 71 912 212</t>
  </si>
  <si>
    <t xml:space="preserve">Lun–ven 07:00–22:00 · sam–dim 07:00–20:00</t>
  </si>
  <si>
    <t xml:space="preserve">La Goulette (Lac 3)</t>
  </si>
  <si>
    <t xml:space="preserve">Padelite Tunisia</t>
  </si>
  <si>
    <t xml:space="preserve">48 Rue Sokrat, Zone Lac III, La Goulette 1053</t>
  </si>
  <si>
    <t xml:space="preserve">+216 53 600 400</t>
  </si>
  <si>
    <t xml:space="preserve">Tous les jours 07:00–00:00</t>
  </si>
  <si>
    <t xml:space="preserve">La Marsa</t>
  </si>
  <si>
    <t xml:space="preserve">Padel Marsa</t>
  </si>
  <si>
    <t xml:space="preserve">Site archéologique de Carthage, Marsa 2070</t>
  </si>
  <si>
    <t xml:space="preserve">+216 25 239 239 / +216 24 000 050</t>
  </si>
  <si>
    <t xml:space="preserve">La Soukra</t>
  </si>
  <si>
    <t xml:space="preserve">Arena Padel Premium</t>
  </si>
  <si>
    <t xml:space="preserve">Extérieur + Couvert</t>
  </si>
  <si>
    <t xml:space="preserve">Rue du Parc, 2036 La Soukra</t>
  </si>
  <si>
    <t xml:space="preserve">+216 28 588 084 / +216 28 810 818</t>
  </si>
  <si>
    <t xml:space="preserve">Lun–ven 06:00–22:00 · sam 07:00–18:00 · dim 08:00–15:00</t>
  </si>
  <si>
    <t xml:space="preserve">Padel Indoor La Soukra</t>
  </si>
  <si>
    <t xml:space="preserve">Avenue de l'UMA, La Soukra 2036</t>
  </si>
  <si>
    <t xml:space="preserve">+216 24 722 000</t>
  </si>
  <si>
    <t xml:space="preserve">Padel Up Soukra</t>
  </si>
  <si>
    <t xml:space="preserve">Avenue 13 Août, La Soukra</t>
  </si>
  <si>
    <t xml:space="preserve">+216 94 078 514</t>
  </si>
  <si>
    <t xml:space="preserve">Tous les jours 08:00–21:30</t>
  </si>
  <si>
    <t xml:space="preserve">Mégrine</t>
  </si>
  <si>
    <t xml:space="preserve">Padel Megrine</t>
  </si>
  <si>
    <t xml:space="preserve">Rue de Skhira (en face usine Unilever), Mégrine 2033</t>
  </si>
  <si>
    <t xml:space="preserve">+216 98 702 060</t>
  </si>
  <si>
    <t xml:space="preserve">Tunis</t>
  </si>
  <si>
    <t xml:space="preserve">Slim Padel</t>
  </si>
  <si>
    <t xml:space="preserve">Av. principale, Tunis 1053</t>
  </si>
  <si>
    <t xml:space="preserve">+216 23 149 000</t>
  </si>
  <si>
    <t xml:space="preserve">Tunis (Charguia 1)</t>
  </si>
  <si>
    <t xml:space="preserve">Padel Club Central</t>
  </si>
  <si>
    <t xml:space="preserve">58 Rue de l'Industrie, Charguia 1, Tunis</t>
  </si>
  <si>
    <t xml:space="preserve">+216 55 193 612</t>
  </si>
  <si>
    <t xml:space="preserve">Tous les jours 09:30–00:30</t>
  </si>
  <si>
    <t xml:space="preserve">SkyPadel</t>
  </si>
  <si>
    <t xml:space="preserve">Rue de l'Éolienne 571 &amp; 597, Charguia 1, 2035 Cité El Khadra, Tunis</t>
  </si>
  <si>
    <t xml:space="preserve">+216 48 352 535</t>
  </si>
  <si>
    <t xml:space="preserve">Tous les jours 06:30–00:30</t>
  </si>
  <si>
    <t xml:space="preserve">Tunis (Charguia)</t>
  </si>
  <si>
    <t xml:space="preserve">Padel Society</t>
  </si>
  <si>
    <t xml:space="preserve">7 Rue de l'Artisanat, Tunis 2035</t>
  </si>
  <si>
    <t xml:space="preserve">+216 98 707 707</t>
  </si>
  <si>
    <t xml:space="preserve">Tous les jours 08:00–00:00</t>
  </si>
  <si>
    <t xml:space="preserve">Tunis (Lac 2)</t>
  </si>
  <si>
    <t xml:space="preserve">Padel Olympysky</t>
  </si>
  <si>
    <t xml:space="preserve">Boulevard du Lac du Nord, Les Berges du Lac 2, Tunis 1053</t>
  </si>
  <si>
    <t xml:space="preserve">+216 29 623 010</t>
  </si>
  <si>
    <t xml:space="preserve">Lun–ven 06:30–22:00 · sam–dim 08:00–16:00</t>
  </si>
  <si>
    <t xml:space="preserve">Tunis (Lac)</t>
  </si>
  <si>
    <t xml:space="preserve">Padel Country Club</t>
  </si>
  <si>
    <t xml:space="preserve">300 Rue du Lac Léman, Tunis</t>
  </si>
  <si>
    <t xml:space="preserve">+216 20 808 366</t>
  </si>
  <si>
    <t xml:space="preserve">24h/24 (ven 09:00–17:00)</t>
  </si>
  <si>
    <t xml:space="preserve">Tunis (Sidi Hassine)</t>
  </si>
  <si>
    <t xml:space="preserve">Sassi Padel (Sassi Stadium)</t>
  </si>
  <si>
    <t xml:space="preserve">Sidi Hassine 1095, Tunis</t>
  </si>
  <si>
    <t xml:space="preserve">+216 98 289 000</t>
  </si>
  <si>
    <t xml:space="preserve">Sfax</t>
  </si>
  <si>
    <t xml:space="preserve">Sfax (Route de Gabès)</t>
  </si>
  <si>
    <t xml:space="preserve">Just Padel</t>
  </si>
  <si>
    <t xml:space="preserve">Route de Gabès Km 7, Sfax</t>
  </si>
  <si>
    <t xml:space="preserve">+216 51 902 000</t>
  </si>
  <si>
    <t xml:space="preserve">Tous les jours 09:00–00:00</t>
  </si>
  <si>
    <t xml:space="preserve">Le Padel by Atlas World Sfax</t>
  </si>
  <si>
    <t xml:space="preserve">Km 4 Route de Gabès, Sfax 3052</t>
  </si>
  <si>
    <t xml:space="preserve">+216 23 003 004</t>
  </si>
  <si>
    <t xml:space="preserve">Sfax Padel Indoor</t>
  </si>
  <si>
    <t xml:space="preserve">Route de Gabès Km 1,5, Sfax 3003</t>
  </si>
  <si>
    <t xml:space="preserve">+216 20 445 000</t>
  </si>
  <si>
    <t xml:space="preserve">Sfax (Route de Teniour)</t>
  </si>
  <si>
    <t xml:space="preserve">Vamos Sport</t>
  </si>
  <si>
    <t xml:space="preserve">Route de Teniour Km 8, Sfax</t>
  </si>
  <si>
    <t xml:space="preserve">+216 98 510 150 / +216 20 388 735</t>
  </si>
  <si>
    <t xml:space="preserve">Lun–ven 08:00–22:00 · sam–dim 08:00–23:00</t>
  </si>
  <si>
    <t xml:space="preserve">Sfax (Sakiet Ezzit)</t>
  </si>
  <si>
    <t xml:space="preserve">Eleven Padel Club</t>
  </si>
  <si>
    <t xml:space="preserve">Km 11, Route de Tunis, Sakiet Ezzit, Sfax</t>
  </si>
  <si>
    <t xml:space="preserve">+216 24 202 707</t>
  </si>
  <si>
    <t xml:space="preserve">Sfax (Sidi Mansour)</t>
  </si>
  <si>
    <t xml:space="preserve">Casa Del Padel Sfax</t>
  </si>
  <si>
    <t xml:space="preserve">Route de Sidi Mansour Km 6, Sfax</t>
  </si>
  <si>
    <t xml:space="preserve">+216 58 444 440</t>
  </si>
  <si>
    <t xml:space="preserve">Tous les jours 15:00–23:30</t>
  </si>
  <si>
    <t xml:space="preserve">Miami Padel Club</t>
  </si>
  <si>
    <t xml:space="preserve">Route de Sidi Mansour Km 2, 3061 Sfax</t>
  </si>
  <si>
    <t xml:space="preserve">+216 97 794 444</t>
  </si>
  <si>
    <t xml:space="preserve">Tous les jours 09:00–01:00/01:30</t>
  </si>
  <si>
    <t xml:space="preserve">Sousse</t>
  </si>
  <si>
    <t xml:space="preserve">Akouda</t>
  </si>
  <si>
    <t xml:space="preserve">Stars Padel Club</t>
  </si>
  <si>
    <t xml:space="preserve">P1, Akouda, 4022 Sousse</t>
  </si>
  <si>
    <t xml:space="preserve">+216 23 684 001</t>
  </si>
  <si>
    <t xml:space="preserve">Tous les jours 08:00–00:30</t>
  </si>
  <si>
    <t xml:space="preserve">Hammam Sousse</t>
  </si>
  <si>
    <t xml:space="preserve">Kantaoui Padel</t>
  </si>
  <si>
    <t xml:space="preserve">Hôtel Marhaba Palace, Hammam Sousse 4089</t>
  </si>
  <si>
    <t xml:space="preserve">+216 51 254 066</t>
  </si>
  <si>
    <t xml:space="preserve">Tous les jours 07:00–23:00</t>
  </si>
  <si>
    <t xml:space="preserve">Padelios Arena</t>
  </si>
  <si>
    <t xml:space="preserve">Rond-point Sidi, Boulevard de l'Environnement, Hammam Sousse 4089</t>
  </si>
  <si>
    <t xml:space="preserve">+216 28 225 050</t>
  </si>
  <si>
    <t xml:space="preserve">Hammam Sousse (El Kantaoui)</t>
  </si>
  <si>
    <t xml:space="preserve">Seabel Padel &amp; Tennis Club</t>
  </si>
  <si>
    <t xml:space="preserve">Hôtel Seabel Alhambra Beach Golf &amp; Spa, Port El Kantaoui, Hammam Sousse 4089</t>
  </si>
  <si>
    <t xml:space="preserve">+216 54 811 800 / +216 92 491 596</t>
  </si>
  <si>
    <t xml:space="preserve">Kalaa Kebira</t>
  </si>
  <si>
    <t xml:space="preserve">Padel Club of Sousse</t>
  </si>
  <si>
    <t xml:space="preserve">Zaarna Est, Kalaa Kebira 4060</t>
  </si>
  <si>
    <t xml:space="preserve">+216 53 536 070</t>
  </si>
  <si>
    <t xml:space="preserve">Padelium Marhaba</t>
  </si>
  <si>
    <t xml:space="preserve">Couvert</t>
  </si>
  <si>
    <t xml:space="preserve">2011 Av. 14 Janvier, Sousse</t>
  </si>
  <si>
    <t xml:space="preserve">+216 51 108 108</t>
  </si>
  <si>
    <t xml:space="preserve">Sousse (Port)</t>
  </si>
  <si>
    <t xml:space="preserve">Padel X</t>
  </si>
  <si>
    <t xml:space="preserve">B.P 350 Port, Sousse 4089</t>
  </si>
  <si>
    <t xml:space="preserve">+216 54 815 715 / +216 97 125 015</t>
  </si>
  <si>
    <t xml:space="preserve">Monastir</t>
  </si>
  <si>
    <t xml:space="preserve">Monastir (Cité El Agba)</t>
  </si>
  <si>
    <t xml:space="preserve">Padel Up Monastir</t>
  </si>
  <si>
    <t xml:space="preserve">Cité El Agba, Monastir</t>
  </si>
  <si>
    <t xml:space="preserve">+216 57 185 750</t>
  </si>
  <si>
    <t xml:space="preserve">Tous les jours 05:00–03:00</t>
  </si>
  <si>
    <t xml:space="preserve">Monastir (Sahline)</t>
  </si>
  <si>
    <t xml:space="preserve">Royal Padel Monastir</t>
  </si>
  <si>
    <t xml:space="preserve">Route de Masjed Aissa, Sahline, Monastir</t>
  </si>
  <si>
    <t xml:space="preserve">+216 29 274 040</t>
  </si>
  <si>
    <t xml:space="preserve">Lun–sam 24h/24 · dim 08:00–00:00</t>
  </si>
  <si>
    <t xml:space="preserve">Monastir (Skanès)</t>
  </si>
  <si>
    <t xml:space="preserve">El Rulo Padel Club</t>
  </si>
  <si>
    <t xml:space="preserve">Hôtel Neptunia Skanès, Monastir 5000</t>
  </si>
  <si>
    <t xml:space="preserve">+216 21 378 999</t>
  </si>
  <si>
    <t xml:space="preserve">Tous les jours 08:00–01:00</t>
  </si>
  <si>
    <t xml:space="preserve">Padel Club Rivage Monastir</t>
  </si>
  <si>
    <t xml:space="preserve">Zone Touristique, Skanès 5000, Monastir</t>
  </si>
  <si>
    <t xml:space="preserve">+216 58 044 400</t>
  </si>
  <si>
    <t xml:space="preserve">Mahdia</t>
  </si>
  <si>
    <t xml:space="preserve">B9 Padel Club Mahdia</t>
  </si>
  <si>
    <t xml:space="preserve">Mahdia (Plus Code G274+2FC)</t>
  </si>
  <si>
    <t xml:space="preserve">+216 95 036 536 / +216 28 069 999</t>
  </si>
  <si>
    <t xml:space="preserve">Nabeul / Cap Bon</t>
  </si>
  <si>
    <t xml:space="preserve">Dar Chaabane</t>
  </si>
  <si>
    <t xml:space="preserve">Padel Factory</t>
  </si>
  <si>
    <t xml:space="preserve">Dar Chaabane El Fehri 8011, Nabeul</t>
  </si>
  <si>
    <t xml:space="preserve">+216 54 314 314</t>
  </si>
  <si>
    <t xml:space="preserve">Hammamet</t>
  </si>
  <si>
    <t xml:space="preserve">Mrad Padel (Mrad's Fitness Park)</t>
  </si>
  <si>
    <t xml:space="preserve">Avenue 3 Août 1903, Hammamet</t>
  </si>
  <si>
    <t xml:space="preserve">+216 22 385 385 / +216 90 152 640</t>
  </si>
  <si>
    <t xml:space="preserve">Lun–ven 07:30–22:00 · sam 07:30–20:00 · dim 08:00–13:00</t>
  </si>
  <si>
    <t xml:space="preserve">One Padel Hammamet</t>
  </si>
  <si>
    <t xml:space="preserve">Bd de l'Environnement, Route Touristique, Hammamet 8050</t>
  </si>
  <si>
    <t xml:space="preserve">+216 72 322 622</t>
  </si>
  <si>
    <t xml:space="preserve">Hammamet (Bir Bou Rekba)</t>
  </si>
  <si>
    <t xml:space="preserve">Go Play Padel</t>
  </si>
  <si>
    <t xml:space="preserve">Bir Bou Rekba, Hammamet</t>
  </si>
  <si>
    <t xml:space="preserve">+216 22 888 848</t>
  </si>
  <si>
    <t xml:space="preserve">Hammamet Sud</t>
  </si>
  <si>
    <t xml:space="preserve">Padel Club Hammamet</t>
  </si>
  <si>
    <t xml:space="preserve">119 C28, Hammamet Sud</t>
  </si>
  <si>
    <t xml:space="preserve">+216 20 126 944</t>
  </si>
  <si>
    <t xml:space="preserve">Kélibia</t>
  </si>
  <si>
    <t xml:space="preserve">Padel Club Kélibia</t>
  </si>
  <si>
    <t xml:space="preserve">Avenue Ali Belhouane, Kélibia 8090</t>
  </si>
  <si>
    <t xml:space="preserve">+216 26 852 150</t>
  </si>
  <si>
    <t xml:space="preserve">Lun–ven 07:30–00:00 · sam–dim 08:00–00:00</t>
  </si>
  <si>
    <t xml:space="preserve">Nabeul</t>
  </si>
  <si>
    <t xml:space="preserve">O'Padel</t>
  </si>
  <si>
    <t xml:space="preserve">Av. du Grand Maghreb, Zone industrielle, 8000 Nabeul</t>
  </si>
  <si>
    <t xml:space="preserve">+216 25 291 291</t>
  </si>
  <si>
    <t xml:space="preserve">Tous les jours 09:00–01:00</t>
  </si>
  <si>
    <t xml:space="preserve">Djerba (Médenine)</t>
  </si>
  <si>
    <t xml:space="preserve">Djerba (Midoun)</t>
  </si>
  <si>
    <t xml:space="preserve">Bourgo Arena</t>
  </si>
  <si>
    <t xml:space="preserve">Route Midoun–Houmt Souk, Ouled Amor, Djerba</t>
  </si>
  <si>
    <t xml:space="preserve">+216 29 239 570</t>
  </si>
  <si>
    <t xml:space="preserve">Padel Djerba Country Club</t>
  </si>
  <si>
    <t xml:space="preserve">Djerba Midoun</t>
  </si>
  <si>
    <t xml:space="preserve">+216 56 043 536</t>
  </si>
  <si>
    <t xml:space="preserve">Tous les jours 06:00–02:00</t>
  </si>
  <si>
    <t xml:space="preserve">Djerba (Oued Amghar)</t>
  </si>
  <si>
    <t xml:space="preserve">Planet Sports Djerba</t>
  </si>
  <si>
    <t xml:space="preserve">Houmet Larbah Erriadh, Oued Amghar, Djerba</t>
  </si>
  <si>
    <t xml:space="preserve">+216 29 612 809</t>
  </si>
  <si>
    <t xml:space="preserve">Tous les jours 10:00–00:00</t>
  </si>
  <si>
    <t xml:space="preserve">Djerba (Sidi Salem)</t>
  </si>
  <si>
    <t xml:space="preserve">Club Padel Djerba</t>
  </si>
  <si>
    <t xml:space="preserve">Route de la plage Sidi Salem, Djerba 4186</t>
  </si>
  <si>
    <t xml:space="preserve">+216 54 000 056</t>
  </si>
  <si>
    <t xml:space="preserve">Gabès</t>
  </si>
  <si>
    <t xml:space="preserve">Padel Park Sky</t>
  </si>
  <si>
    <t xml:space="preserve">Rue de la Corniche, Gabès 6000</t>
  </si>
  <si>
    <t xml:space="preserve">+216 22 070 722</t>
  </si>
  <si>
    <t xml:space="preserve">Gabès (El Manara)</t>
  </si>
  <si>
    <t xml:space="preserve">Padel Club Gabès La Vingtaine</t>
  </si>
  <si>
    <t xml:space="preserve">Avenue Abou Kacem Chebbi, El Manara, Gabès</t>
  </si>
  <si>
    <t xml:space="preserve">Tous les jours 08:00–22:30</t>
  </si>
  <si>
    <t xml:space="preserve">Club count by region</t>
  </si>
  <si>
    <t xml:space="preserve">Clubs</t>
  </si>
  <si>
    <t xml:space="preserve">Courts listed</t>
  </si>
  <si>
    <t xml:space="preserve">Total</t>
  </si>
  <si>
    <t xml:space="preserve">Courts total excludes 3 clubs whose court count isn't listed (Slim Padel, Stars Padel Club, B9 Mahdia).</t>
  </si>
  <si>
    <t xml:space="preserve">Other venues mentioned in padel news but not in the directory (details unverified)</t>
  </si>
  <si>
    <t xml:space="preserve">Venue</t>
  </si>
  <si>
    <t xml:space="preserve">Note</t>
  </si>
  <si>
    <t xml:space="preserve">Source</t>
  </si>
  <si>
    <t xml:space="preserve">Tunis (Belvédère)</t>
  </si>
  <si>
    <t xml:space="preserve">Tennis Club de Tunis (court Padel by Kia)</t>
  </si>
  <si>
    <t xml:space="preserve">20 bis Avenue Alain Savary, Belvédère, Tunis</t>
  </si>
  <si>
    <t xml:space="preserve">Tennis club with one padel court since 2021</t>
  </si>
  <si>
    <t xml:space="preserve">Tunis (Lac 1)</t>
  </si>
  <si>
    <t xml:space="preserve">Avantier Club</t>
  </si>
  <si>
    <t xml:space="preserve">Les Berges du Lac 1, Tunis</t>
  </si>
  <si>
    <t xml:space="preserve">Hosted the 29th FTT circuit stage; opened Jan 2026</t>
  </si>
  <si>
    <t xml:space="preserve">Yalla Padel</t>
  </si>
  <si>
    <t xml:space="preserve">2011 Av. 14 Janvier, Sousse 4051 (same address as Padelium Marhaba — may be the same venue)</t>
  </si>
  <si>
    <t xml:space="preserve">Hosted the 29th FTT circuit stage</t>
  </si>
  <si>
    <t xml:space="preserve">Treffle Padel Club</t>
  </si>
  <si>
    <t xml:space="preserve">Not found</t>
  </si>
  <si>
    <t xml:space="preserve">Hosted the 28th FTT circuit stage (Sept 2026)</t>
  </si>
  <si>
    <t xml:space="preserve">Djerba (Houmt Souk)</t>
  </si>
  <si>
    <t xml:space="preserve">Radisson Blu Palace Resort &amp; Thalasso (hotel courts)</t>
  </si>
  <si>
    <t xml:space="preserve">Zone Touristique, Houmt Souk 4128, Djerba</t>
  </si>
  <si>
    <t xml:space="preserve">Hotel courts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</si>
</sst>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AF1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AF1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1F8"/>
      <rgbColor rgb="FF660066"/>
      <rgbColor rgb="FFFF8080"/>
      <rgbColor rgb="FF0563C1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ballejaune.com/club/padelhouse" TargetMode="External"/><Relationship Id="rId2" Type="http://schemas.openxmlformats.org/officeDocument/2006/relationships/hyperlink" Target="https://www.facebook.com/Padel.House.TN" TargetMode="External"/><Relationship Id="rId3" Type="http://schemas.openxmlformats.org/officeDocument/2006/relationships/hyperlink" Target="https://www.instagram.com/padel_house_tunisia/" TargetMode="External"/><Relationship Id="rId4" Type="http://schemas.openxmlformats.org/officeDocument/2006/relationships/hyperlink" Target="https://images.padelmesh.com/uploads/clubs/9912/logo/large/309362623_1433012987226442_7628905858158442442_n.jpg" TargetMode="External"/><Relationship Id="rId5" Type="http://schemas.openxmlformats.org/officeDocument/2006/relationships/hyperlink" Target="https://padelmesh.com/fr/tn/ariana/clubs/padel-house" TargetMode="External"/><Relationship Id="rId6" Type="http://schemas.openxmlformats.org/officeDocument/2006/relationships/hyperlink" Target="https://www.facebook.com/profile.php?id=61555327124927" TargetMode="External"/><Relationship Id="rId7" Type="http://schemas.openxmlformats.org/officeDocument/2006/relationships/hyperlink" Target="https://images.padelmesh.com/uploads/clubs/9911/logo/large/419546288_122114311616177570_5750681133392901678_n.jpg" TargetMode="External"/><Relationship Id="rId8" Type="http://schemas.openxmlformats.org/officeDocument/2006/relationships/hyperlink" Target="https://padelmesh.com/fr/tn/ariana/clubs/padel-connection" TargetMode="External"/><Relationship Id="rId9" Type="http://schemas.openxmlformats.org/officeDocument/2006/relationships/hyperlink" Target="https://www.instagram.com/lob_legends/" TargetMode="External"/><Relationship Id="rId10" Type="http://schemas.openxmlformats.org/officeDocument/2006/relationships/hyperlink" Target="https://images.padelmesh.com/uploads/clubs/9913/logo/large/448269402_7673745096004604_5192968062500578398_n.jpg" TargetMode="External"/><Relationship Id="rId11" Type="http://schemas.openxmlformats.org/officeDocument/2006/relationships/hyperlink" Target="https://padelmesh.com/fr/tn/ben-arous/clubs/lob-legends-club" TargetMode="External"/><Relationship Id="rId12" Type="http://schemas.openxmlformats.org/officeDocument/2006/relationships/hyperlink" Target="https://www.facebook.com/PadelClubSidiBou/" TargetMode="External"/><Relationship Id="rId13" Type="http://schemas.openxmlformats.org/officeDocument/2006/relationships/hyperlink" Target="https://www.instagram.com/padelclub_sidibou" TargetMode="External"/><Relationship Id="rId14" Type="http://schemas.openxmlformats.org/officeDocument/2006/relationships/hyperlink" Target="https://images.padelmesh.com/uploads/clubs/9916/logo/large/342993567_6476806309020513_2440177842873922852_n.jpg" TargetMode="External"/><Relationship Id="rId15" Type="http://schemas.openxmlformats.org/officeDocument/2006/relationships/hyperlink" Target="https://padelmesh.com/fr/tn/carthage/clubs/padel-club-sidi-bou" TargetMode="External"/><Relationship Id="rId16" Type="http://schemas.openxmlformats.org/officeDocument/2006/relationships/hyperlink" Target="https://restartpadel.tn/reserve" TargetMode="External"/><Relationship Id="rId17" Type="http://schemas.openxmlformats.org/officeDocument/2006/relationships/hyperlink" Target="https://padelmesh.com/fr/tn/cebalat-ben-ammar/clubs/re-serve-padel" TargetMode="External"/><Relationship Id="rId18" Type="http://schemas.openxmlformats.org/officeDocument/2006/relationships/hyperlink" Target="https://www.facebook.com/p/Padel-in-Mourouj-61579937671529/" TargetMode="External"/><Relationship Id="rId19" Type="http://schemas.openxmlformats.org/officeDocument/2006/relationships/hyperlink" Target="https://www.instagram.com/padelinmourouj/" TargetMode="External"/><Relationship Id="rId20" Type="http://schemas.openxmlformats.org/officeDocument/2006/relationships/hyperlink" Target="https://padelmesh.com/fr/tn/el-mourouj/clubs/padel-in-mourouj" TargetMode="External"/><Relationship Id="rId21" Type="http://schemas.openxmlformats.org/officeDocument/2006/relationships/hyperlink" Target="https://www.instagram.com/euphoriapadelezzahra/" TargetMode="External"/><Relationship Id="rId22" Type="http://schemas.openxmlformats.org/officeDocument/2006/relationships/hyperlink" Target="https://images.padelmesh.com/uploads/clubs/9924/logo/large/469989366_1265424577995592_4714683624124538265_n.jpg" TargetMode="External"/><Relationship Id="rId23" Type="http://schemas.openxmlformats.org/officeDocument/2006/relationships/hyperlink" Target="https://padelmesh.com/fr/tn/ez-zahra/clubs/euphoria-padel-ezzahra" TargetMode="External"/><Relationship Id="rId24" Type="http://schemas.openxmlformats.org/officeDocument/2006/relationships/hyperlink" Target="https://www.leclub.tn/" TargetMode="External"/><Relationship Id="rId25" Type="http://schemas.openxmlformats.org/officeDocument/2006/relationships/hyperlink" Target="https://www.instagram.com/padel_gammarth/" TargetMode="External"/><Relationship Id="rId26" Type="http://schemas.openxmlformats.org/officeDocument/2006/relationships/hyperlink" Target="https://images.padelmesh.com/uploads/clubs/9927/logo/large/417723131_6829501497172305_3414162336659699875_n.jpg" TargetMode="External"/><Relationship Id="rId27" Type="http://schemas.openxmlformats.org/officeDocument/2006/relationships/hyperlink" Target="https://padelmesh.com/fr/tn/gammarth/clubs/le-club-de-gammarth" TargetMode="External"/><Relationship Id="rId28" Type="http://schemas.openxmlformats.org/officeDocument/2006/relationships/hyperlink" Target="https://www.facebook.com/people/Padelite-Tunisia/61576730237883/" TargetMode="External"/><Relationship Id="rId29" Type="http://schemas.openxmlformats.org/officeDocument/2006/relationships/hyperlink" Target="https://www.instagram.com/padelitetunisia/" TargetMode="External"/><Relationship Id="rId30" Type="http://schemas.openxmlformats.org/officeDocument/2006/relationships/hyperlink" Target="https://images.padelmesh.com/uploads/clubs/9963/logo/large/504384515_10172374045240529_4528839932758946677_n.jpg" TargetMode="External"/><Relationship Id="rId31" Type="http://schemas.openxmlformats.org/officeDocument/2006/relationships/hyperlink" Target="https://padelmesh.com/fr/tn/la-goulette/clubs/padelite-tunisia" TargetMode="External"/><Relationship Id="rId32" Type="http://schemas.openxmlformats.org/officeDocument/2006/relationships/hyperlink" Target="https://www.padel-marsa.com/" TargetMode="External"/><Relationship Id="rId33" Type="http://schemas.openxmlformats.org/officeDocument/2006/relationships/hyperlink" Target="https://www.facebook.com/padelmarsatunisie" TargetMode="External"/><Relationship Id="rId34" Type="http://schemas.openxmlformats.org/officeDocument/2006/relationships/hyperlink" Target="https://www.instagram.com/padelmarsa" TargetMode="External"/><Relationship Id="rId35" Type="http://schemas.openxmlformats.org/officeDocument/2006/relationships/hyperlink" Target="https://images.padelmesh.com/uploads/clubs/9935/logo/large/565192054_751381161273161_3082012033970930619_n.jpg" TargetMode="External"/><Relationship Id="rId36" Type="http://schemas.openxmlformats.org/officeDocument/2006/relationships/hyperlink" Target="https://padelmesh.com/fr/tn/la-marsa/clubs/padel-marsa" TargetMode="External"/><Relationship Id="rId37" Type="http://schemas.openxmlformats.org/officeDocument/2006/relationships/hyperlink" Target="https://www.instagram.com/arena_padel_premium/" TargetMode="External"/><Relationship Id="rId38" Type="http://schemas.openxmlformats.org/officeDocument/2006/relationships/hyperlink" Target="https://images.padelmesh.com/uploads/clubs/9936/logo/large/364283222_1417473292127914_6129389564199973626_n.jpg" TargetMode="External"/><Relationship Id="rId39" Type="http://schemas.openxmlformats.org/officeDocument/2006/relationships/hyperlink" Target="https://padelmesh.com/fr/tn/la-soukra/clubs/arena-gym-premium" TargetMode="External"/><Relationship Id="rId40" Type="http://schemas.openxmlformats.org/officeDocument/2006/relationships/hyperlink" Target="https://www.instagram.com/padel_indoor_lasoukra/" TargetMode="External"/><Relationship Id="rId41" Type="http://schemas.openxmlformats.org/officeDocument/2006/relationships/hyperlink" Target="https://images.padelmesh.com/uploads/clubs/9938/logo/large/280181553_388096833315254_6398997589811294292_n.jpg" TargetMode="External"/><Relationship Id="rId42" Type="http://schemas.openxmlformats.org/officeDocument/2006/relationships/hyperlink" Target="https://padelmesh.com/fr/tn/la-soukra/clubs/padel-indoor-la-soukra" TargetMode="External"/><Relationship Id="rId43" Type="http://schemas.openxmlformats.org/officeDocument/2006/relationships/hyperlink" Target="https://www.padelup.tn/" TargetMode="External"/><Relationship Id="rId44" Type="http://schemas.openxmlformats.org/officeDocument/2006/relationships/hyperlink" Target="https://www.instagram.com/padel.up1969/" TargetMode="External"/><Relationship Id="rId45" Type="http://schemas.openxmlformats.org/officeDocument/2006/relationships/hyperlink" Target="https://images.padelmesh.com/uploads/clubs/9937/logo/large/572991844_17842072959610237_7773736649318865793_n.jpg" TargetMode="External"/><Relationship Id="rId46" Type="http://schemas.openxmlformats.org/officeDocument/2006/relationships/hyperlink" Target="https://padelmesh.com/fr/tn/la-soukra/clubs/padel-up-soukra" TargetMode="External"/><Relationship Id="rId47" Type="http://schemas.openxmlformats.org/officeDocument/2006/relationships/hyperlink" Target="https://ballejaune.com/club/padelmegrine" TargetMode="External"/><Relationship Id="rId48" Type="http://schemas.openxmlformats.org/officeDocument/2006/relationships/hyperlink" Target="https://www.instagram.com/padelmegrine/" TargetMode="External"/><Relationship Id="rId49" Type="http://schemas.openxmlformats.org/officeDocument/2006/relationships/hyperlink" Target="https://images.padelmesh.com/uploads/clubs/9942/logo/large/485868470_2409869132688026_2291198574453162397_n.jpg" TargetMode="External"/><Relationship Id="rId50" Type="http://schemas.openxmlformats.org/officeDocument/2006/relationships/hyperlink" Target="https://padelmesh.com/fr/tn/megrine/clubs/padel-megrine" TargetMode="External"/><Relationship Id="rId51" Type="http://schemas.openxmlformats.org/officeDocument/2006/relationships/hyperlink" Target="https://www.facebook.com/SlimPadel" TargetMode="External"/><Relationship Id="rId52" Type="http://schemas.openxmlformats.org/officeDocument/2006/relationships/hyperlink" Target="https://www.instagram.com/slimpadel/" TargetMode="External"/><Relationship Id="rId53" Type="http://schemas.openxmlformats.org/officeDocument/2006/relationships/hyperlink" Target="https://images.padelmesh.com/uploads/clubs/9960/logo/large/601602940_17857249569575122_429270847886139119_n.jpg" TargetMode="External"/><Relationship Id="rId54" Type="http://schemas.openxmlformats.org/officeDocument/2006/relationships/hyperlink" Target="https://padelmesh.com/fr/tn/tunis/clubs/slim-padel" TargetMode="External"/><Relationship Id="rId55" Type="http://schemas.openxmlformats.org/officeDocument/2006/relationships/hyperlink" Target="https://www.instagram.com/padel.club.central/" TargetMode="External"/><Relationship Id="rId56" Type="http://schemas.openxmlformats.org/officeDocument/2006/relationships/hyperlink" Target="https://images.padelmesh.com/uploads/clubs/9955/logo/large/684808880_17931904893260245_4733015659010189030_n.jpg" TargetMode="External"/><Relationship Id="rId57" Type="http://schemas.openxmlformats.org/officeDocument/2006/relationships/hyperlink" Target="https://padelmesh.com/fr/tn/tunis/clubs/padel-club-central" TargetMode="External"/><Relationship Id="rId58" Type="http://schemas.openxmlformats.org/officeDocument/2006/relationships/hyperlink" Target="https://skypadel.tn/reserver" TargetMode="External"/><Relationship Id="rId59" Type="http://schemas.openxmlformats.org/officeDocument/2006/relationships/hyperlink" Target="https://www.instagram.com/sky.padel_" TargetMode="External"/><Relationship Id="rId60" Type="http://schemas.openxmlformats.org/officeDocument/2006/relationships/hyperlink" Target="https://images.padelmesh.com/uploads/clubs/9959/logo/large/517587261_17842112949536908_3624364757239626438_n.jpg" TargetMode="External"/><Relationship Id="rId61" Type="http://schemas.openxmlformats.org/officeDocument/2006/relationships/hyperlink" Target="https://padelmesh.com/fr/tn/tunis/clubs/skypadel" TargetMode="External"/><Relationship Id="rId62" Type="http://schemas.openxmlformats.org/officeDocument/2006/relationships/hyperlink" Target="https://www.clubpadelsociety.com/" TargetMode="External"/><Relationship Id="rId63" Type="http://schemas.openxmlformats.org/officeDocument/2006/relationships/hyperlink" Target="https://www.instagram.com/padel_society_tunis/" TargetMode="External"/><Relationship Id="rId64" Type="http://schemas.openxmlformats.org/officeDocument/2006/relationships/hyperlink" Target="https://images.padelmesh.com/uploads/clubs/9957/logo/large/811711016_18101754398634382_3034828058523032493_n.jpg" TargetMode="External"/><Relationship Id="rId65" Type="http://schemas.openxmlformats.org/officeDocument/2006/relationships/hyperlink" Target="https://padelmesh.com/fr/tn/tunis/clubs/padel-society" TargetMode="External"/><Relationship Id="rId66" Type="http://schemas.openxmlformats.org/officeDocument/2006/relationships/hyperlink" Target="https://olympysky.com/" TargetMode="External"/><Relationship Id="rId67" Type="http://schemas.openxmlformats.org/officeDocument/2006/relationships/hyperlink" Target="https://images.padelmesh.com/uploads/clubs/9962/logo/large/465071551_578904051319033_2666422531501539530_n.jpg" TargetMode="External"/><Relationship Id="rId68" Type="http://schemas.openxmlformats.org/officeDocument/2006/relationships/hyperlink" Target="https://padelmesh.com/fr/tn/tunis/clubs/padel-olympysky" TargetMode="External"/><Relationship Id="rId69" Type="http://schemas.openxmlformats.org/officeDocument/2006/relationships/hyperlink" Target="https://www.instagram.com/padelcountry_club/" TargetMode="External"/><Relationship Id="rId70" Type="http://schemas.openxmlformats.org/officeDocument/2006/relationships/hyperlink" Target="https://images.padelmesh.com/uploads/clubs/9956/logo/large/460137871_3942513199362183_36877365219766491_n.jpg" TargetMode="External"/><Relationship Id="rId71" Type="http://schemas.openxmlformats.org/officeDocument/2006/relationships/hyperlink" Target="https://padelmesh.com/fr/tn/tunis/clubs/padel-country-club-tunis" TargetMode="External"/><Relationship Id="rId72" Type="http://schemas.openxmlformats.org/officeDocument/2006/relationships/hyperlink" Target="https://sassistadium.com/home/padel?activityId=243071" TargetMode="External"/><Relationship Id="rId73" Type="http://schemas.openxmlformats.org/officeDocument/2006/relationships/hyperlink" Target="https://www.facebook.com/Sassi.Stadium" TargetMode="External"/><Relationship Id="rId74" Type="http://schemas.openxmlformats.org/officeDocument/2006/relationships/hyperlink" Target="https://www.instagram.com/sassi_stadium/" TargetMode="External"/><Relationship Id="rId75" Type="http://schemas.openxmlformats.org/officeDocument/2006/relationships/hyperlink" Target="https://images.padelmesh.com/uploads/clubs/9958/logo/large/281691044_991186554934392_2743760363376263526_n.jpg" TargetMode="External"/><Relationship Id="rId76" Type="http://schemas.openxmlformats.org/officeDocument/2006/relationships/hyperlink" Target="https://padelmesh.com/fr/tn/tunis/clubs/sassi-padel" TargetMode="External"/><Relationship Id="rId77" Type="http://schemas.openxmlformats.org/officeDocument/2006/relationships/hyperlink" Target="https://www.justpadel.tn/" TargetMode="External"/><Relationship Id="rId78" Type="http://schemas.openxmlformats.org/officeDocument/2006/relationships/hyperlink" Target="https://www.facebook.com/people/Just-Padel/61567722583260/" TargetMode="External"/><Relationship Id="rId79" Type="http://schemas.openxmlformats.org/officeDocument/2006/relationships/hyperlink" Target="https://www.instagram.com/justpadelsfax" TargetMode="External"/><Relationship Id="rId80" Type="http://schemas.openxmlformats.org/officeDocument/2006/relationships/hyperlink" Target="https://images.padelmesh.com/uploads/clubs/9948/logo/large/613661732_122176122248590752_5083025604421846124_n.jpg" TargetMode="External"/><Relationship Id="rId81" Type="http://schemas.openxmlformats.org/officeDocument/2006/relationships/hyperlink" Target="https://padelmesh.com/fr/tn/sfax/clubs/just-padel-sfax" TargetMode="External"/><Relationship Id="rId82" Type="http://schemas.openxmlformats.org/officeDocument/2006/relationships/hyperlink" Target="https://www.atlasworldsfax.com/padelsfax" TargetMode="External"/><Relationship Id="rId83" Type="http://schemas.openxmlformats.org/officeDocument/2006/relationships/hyperlink" Target="https://www.facebook.com/padelsfax/" TargetMode="External"/><Relationship Id="rId84" Type="http://schemas.openxmlformats.org/officeDocument/2006/relationships/hyperlink" Target="https://www.instagram.com/le_padel_sfax/" TargetMode="External"/><Relationship Id="rId85" Type="http://schemas.openxmlformats.org/officeDocument/2006/relationships/hyperlink" Target="https://images.padelmesh.com/uploads/clubs/9949/logo/large/420301034_796591465848669_7788802342895315723_n__1_.jpg" TargetMode="External"/><Relationship Id="rId86" Type="http://schemas.openxmlformats.org/officeDocument/2006/relationships/hyperlink" Target="https://padelmesh.com/fr/tn/sfax/clubs/le-padel-sfax" TargetMode="External"/><Relationship Id="rId87" Type="http://schemas.openxmlformats.org/officeDocument/2006/relationships/hyperlink" Target="https://ballejaune.com/club/Sfax-padel" TargetMode="External"/><Relationship Id="rId88" Type="http://schemas.openxmlformats.org/officeDocument/2006/relationships/hyperlink" Target="https://www.facebook.com/sfax.padel.indoor/" TargetMode="External"/><Relationship Id="rId89" Type="http://schemas.openxmlformats.org/officeDocument/2006/relationships/hyperlink" Target="https://www.instagram.com/sfaxpadelindoor/" TargetMode="External"/><Relationship Id="rId90" Type="http://schemas.openxmlformats.org/officeDocument/2006/relationships/hyperlink" Target="https://images.padelmesh.com/uploads/clubs/9951/logo/large/439864290_3402732526691172_995103845824934311_n.jpg" TargetMode="External"/><Relationship Id="rId91" Type="http://schemas.openxmlformats.org/officeDocument/2006/relationships/hyperlink" Target="https://padelmesh.com/fr/tn/sfax/clubs/sfax-padel-indoor" TargetMode="External"/><Relationship Id="rId92" Type="http://schemas.openxmlformats.org/officeDocument/2006/relationships/hyperlink" Target="https://www.vamossport.net/" TargetMode="External"/><Relationship Id="rId93" Type="http://schemas.openxmlformats.org/officeDocument/2006/relationships/hyperlink" Target="https://www.facebook.com/people/Vamos/61567060381941/" TargetMode="External"/><Relationship Id="rId94" Type="http://schemas.openxmlformats.org/officeDocument/2006/relationships/hyperlink" Target="https://www.instagram.com/vamos.sport/" TargetMode="External"/><Relationship Id="rId95" Type="http://schemas.openxmlformats.org/officeDocument/2006/relationships/hyperlink" Target="https://images.padelmesh.com/uploads/clubs/9952/logo/large/468441350_537114895906350_7487881584603992266_n.jpg" TargetMode="External"/><Relationship Id="rId96" Type="http://schemas.openxmlformats.org/officeDocument/2006/relationships/hyperlink" Target="https://padelmesh.com/fr/tn/sfax/clubs/vamos" TargetMode="External"/><Relationship Id="rId97" Type="http://schemas.openxmlformats.org/officeDocument/2006/relationships/hyperlink" Target="https://elevenpadelclub.tn/online-booking/" TargetMode="External"/><Relationship Id="rId98" Type="http://schemas.openxmlformats.org/officeDocument/2006/relationships/hyperlink" Target="https://www.facebook.com/p/Eleven-Padel-Club-61572317035244/" TargetMode="External"/><Relationship Id="rId99" Type="http://schemas.openxmlformats.org/officeDocument/2006/relationships/hyperlink" Target="https://www.instagram.com/eleven_padel_club/" TargetMode="External"/><Relationship Id="rId100" Type="http://schemas.openxmlformats.org/officeDocument/2006/relationships/hyperlink" Target="https://images.padelmesh.com/uploads/clubs/9947/logo/large/474057480_584924030969422_4298066394028822163_n.jpg" TargetMode="External"/><Relationship Id="rId101" Type="http://schemas.openxmlformats.org/officeDocument/2006/relationships/hyperlink" Target="https://padelmesh.com/fr/tn/sfax/clubs/eleven-padel-club" TargetMode="External"/><Relationship Id="rId102" Type="http://schemas.openxmlformats.org/officeDocument/2006/relationships/hyperlink" Target="https://casadelpadel.tn/" TargetMode="External"/><Relationship Id="rId103" Type="http://schemas.openxmlformats.org/officeDocument/2006/relationships/hyperlink" Target="https://www.facebook.com/profile.php?id=61559890747854" TargetMode="External"/><Relationship Id="rId104" Type="http://schemas.openxmlformats.org/officeDocument/2006/relationships/hyperlink" Target="https://www.instagram.com/casa_del_padel" TargetMode="External"/><Relationship Id="rId105" Type="http://schemas.openxmlformats.org/officeDocument/2006/relationships/hyperlink" Target="https://images.padelmesh.com/uploads/clubs/9946/logo/large/474914073_3013943012091508_3166532260791440589_n.jpg" TargetMode="External"/><Relationship Id="rId106" Type="http://schemas.openxmlformats.org/officeDocument/2006/relationships/hyperlink" Target="https://padelmesh.com/fr/tn/sfax/clubs/casa-del-padel-sfax" TargetMode="External"/><Relationship Id="rId107" Type="http://schemas.openxmlformats.org/officeDocument/2006/relationships/hyperlink" Target="https://www.facebook.com/p/MIAMI-PADEL-CLUB-61590878284415/" TargetMode="External"/><Relationship Id="rId108" Type="http://schemas.openxmlformats.org/officeDocument/2006/relationships/hyperlink" Target="https://www.instagram.com/miami_padel_club/" TargetMode="External"/><Relationship Id="rId109" Type="http://schemas.openxmlformats.org/officeDocument/2006/relationships/hyperlink" Target="https://images.padelmesh.com/uploads/clubs/9950/logo/large/724484437_122101191033362609_1168058697639389948_n.jpg" TargetMode="External"/><Relationship Id="rId110" Type="http://schemas.openxmlformats.org/officeDocument/2006/relationships/hyperlink" Target="https://padelmesh.com/fr/tn/sfax/clubs/miami-padel-club" TargetMode="External"/><Relationship Id="rId111" Type="http://schemas.openxmlformats.org/officeDocument/2006/relationships/hyperlink" Target="https://ballejaune.com/club/spcsousse" TargetMode="External"/><Relationship Id="rId112" Type="http://schemas.openxmlformats.org/officeDocument/2006/relationships/hyperlink" Target="https://www.instagram.com/stars_padel_club/" TargetMode="External"/><Relationship Id="rId113" Type="http://schemas.openxmlformats.org/officeDocument/2006/relationships/hyperlink" Target="https://images.padelmesh.com/uploads/clubs/9910/logo/large/454867235_1740440143431254_5583897707475093976_n.jpg" TargetMode="External"/><Relationship Id="rId114" Type="http://schemas.openxmlformats.org/officeDocument/2006/relationships/hyperlink" Target="https://padelmesh.com/fr/tn/akouda/clubs/stars-padel-club" TargetMode="External"/><Relationship Id="rId115" Type="http://schemas.openxmlformats.org/officeDocument/2006/relationships/hyperlink" Target="https://padup.net/establishment/search/detail?clubName=KANTAOUI%20PADEL&amp;clubId=395550" TargetMode="External"/><Relationship Id="rId116" Type="http://schemas.openxmlformats.org/officeDocument/2006/relationships/hyperlink" Target="https://www.facebook.com/kantaouipadel/" TargetMode="External"/><Relationship Id="rId117" Type="http://schemas.openxmlformats.org/officeDocument/2006/relationships/hyperlink" Target="https://www.instagram.com/kantaouipadel/" TargetMode="External"/><Relationship Id="rId118" Type="http://schemas.openxmlformats.org/officeDocument/2006/relationships/hyperlink" Target="https://images.padelmesh.com/uploads/clubs/9928/logo/large/424621345_122099422394316393_8666123588092510451_n.jpg" TargetMode="External"/><Relationship Id="rId119" Type="http://schemas.openxmlformats.org/officeDocument/2006/relationships/hyperlink" Target="https://padelmesh.com/fr/tn/hammam-sousse/clubs/kantaoui-padel" TargetMode="External"/><Relationship Id="rId120" Type="http://schemas.openxmlformats.org/officeDocument/2006/relationships/hyperlink" Target="https://www.instagram.com/padeliosarena/" TargetMode="External"/><Relationship Id="rId121" Type="http://schemas.openxmlformats.org/officeDocument/2006/relationships/hyperlink" Target="https://images.padelmesh.com/uploads/clubs/9929/logo/large/624690943_17908738263339547_5654199961804818913_n.jpg" TargetMode="External"/><Relationship Id="rId122" Type="http://schemas.openxmlformats.org/officeDocument/2006/relationships/hyperlink" Target="https://padelmesh.com/fr/tn/hammam-sousse/clubs/padelios-arena" TargetMode="External"/><Relationship Id="rId123" Type="http://schemas.openxmlformats.org/officeDocument/2006/relationships/hyperlink" Target="https://www.seabelhotels.com/fr/seabel-alhambra-beach-golf-spa/padel-tennis-club/" TargetMode="External"/><Relationship Id="rId124" Type="http://schemas.openxmlformats.org/officeDocument/2006/relationships/hyperlink" Target="https://www.facebook.com/p/Seabel-Padel-Club-61556260584962/" TargetMode="External"/><Relationship Id="rId125" Type="http://schemas.openxmlformats.org/officeDocument/2006/relationships/hyperlink" Target="https://www.instagram.com/seabel_padel_club/" TargetMode="External"/><Relationship Id="rId126" Type="http://schemas.openxmlformats.org/officeDocument/2006/relationships/hyperlink" Target="https://images.padelmesh.com/uploads/clubs/9930/logo/large/449145917_1005556877903988_8567794805788089381_n.jpg" TargetMode="External"/><Relationship Id="rId127" Type="http://schemas.openxmlformats.org/officeDocument/2006/relationships/hyperlink" Target="https://padelmesh.com/fr/tn/hammam-sousse/clubs/seabel-padel-tennis-club" TargetMode="External"/><Relationship Id="rId128" Type="http://schemas.openxmlformats.org/officeDocument/2006/relationships/hyperlink" Target="https://www.instagram.com/padelclubofsousse/" TargetMode="External"/><Relationship Id="rId129" Type="http://schemas.openxmlformats.org/officeDocument/2006/relationships/hyperlink" Target="https://images.padelmesh.com/uploads/clubs/9965/logo/large/745862154_17972224956083768_8690960114051928964_n.jpg" TargetMode="External"/><Relationship Id="rId130" Type="http://schemas.openxmlformats.org/officeDocument/2006/relationships/hyperlink" Target="https://padelmesh.com/fr/tn/kalaa-kebira/clubs/padel-club-of-sousse" TargetMode="External"/><Relationship Id="rId131" Type="http://schemas.openxmlformats.org/officeDocument/2006/relationships/hyperlink" Target="http://www.padeliummarhaba.tn/" TargetMode="External"/><Relationship Id="rId132" Type="http://schemas.openxmlformats.org/officeDocument/2006/relationships/hyperlink" Target="https://www.instagram.com/padelium_marhaba_sousse/" TargetMode="External"/><Relationship Id="rId133" Type="http://schemas.openxmlformats.org/officeDocument/2006/relationships/hyperlink" Target="https://images.padelmesh.com/uploads/clubs/9953/logo/large/574233199_17911506285247929_4790980246563326113_n.jpg" TargetMode="External"/><Relationship Id="rId134" Type="http://schemas.openxmlformats.org/officeDocument/2006/relationships/hyperlink" Target="https://padelmesh.com/fr/tn/sousse/clubs/padelium-marhaba" TargetMode="External"/><Relationship Id="rId135" Type="http://schemas.openxmlformats.org/officeDocument/2006/relationships/hyperlink" Target="https://www.facebook.com/Padelx.tn" TargetMode="External"/><Relationship Id="rId136" Type="http://schemas.openxmlformats.org/officeDocument/2006/relationships/hyperlink" Target="https://www.instagram.com/padelx.tn/" TargetMode="External"/><Relationship Id="rId137" Type="http://schemas.openxmlformats.org/officeDocument/2006/relationships/hyperlink" Target="https://images.padelmesh.com/uploads/clubs/9966/logo/large/610854807_17904975768338595_6335831090852929088_n.jpg" TargetMode="External"/><Relationship Id="rId138" Type="http://schemas.openxmlformats.org/officeDocument/2006/relationships/hyperlink" Target="https://padelmesh.com/fr/tn/sousse/clubs/padel-x-sousse" TargetMode="External"/><Relationship Id="rId139" Type="http://schemas.openxmlformats.org/officeDocument/2006/relationships/hyperlink" Target="https://padelupmonastir-tn.matchpoint.com.es/PadelUpMonastir/HomePadelUpMonastir.aspx" TargetMode="External"/><Relationship Id="rId140" Type="http://schemas.openxmlformats.org/officeDocument/2006/relationships/hyperlink" Target="https://www.facebook.com/people/Padel-Up-Monastir/61566180876767/" TargetMode="External"/><Relationship Id="rId141" Type="http://schemas.openxmlformats.org/officeDocument/2006/relationships/hyperlink" Target="https://www.instagram.com/padelupmonastir/" TargetMode="External"/><Relationship Id="rId142" Type="http://schemas.openxmlformats.org/officeDocument/2006/relationships/hyperlink" Target="https://images.padelmesh.com/uploads/clubs/9969/logo/large/475094614_1167602818269134_2242792587903294004_n.jpg" TargetMode="External"/><Relationship Id="rId143" Type="http://schemas.openxmlformats.org/officeDocument/2006/relationships/hyperlink" Target="https://padelmesh.com/fr/tn/monastir/clubs/padel-up-monastir" TargetMode="External"/><Relationship Id="rId144" Type="http://schemas.openxmlformats.org/officeDocument/2006/relationships/hyperlink" Target="https://www.instagram.com/royalpadel.monastir/" TargetMode="External"/><Relationship Id="rId145" Type="http://schemas.openxmlformats.org/officeDocument/2006/relationships/hyperlink" Target="https://images.padelmesh.com/uploads/clubs/9964/logo/large/541371612_17858729739485191_5927372282822590940_n.jpg" TargetMode="External"/><Relationship Id="rId146" Type="http://schemas.openxmlformats.org/officeDocument/2006/relationships/hyperlink" Target="https://padelmesh.com/fr/tn/monastir/clubs/royal-padel-monastir" TargetMode="External"/><Relationship Id="rId147" Type="http://schemas.openxmlformats.org/officeDocument/2006/relationships/hyperlink" Target="https://elrulopadel.padup.net/" TargetMode="External"/><Relationship Id="rId148" Type="http://schemas.openxmlformats.org/officeDocument/2006/relationships/hyperlink" Target="https://www.instagram.com/elrulo_padel_club/" TargetMode="External"/><Relationship Id="rId149" Type="http://schemas.openxmlformats.org/officeDocument/2006/relationships/hyperlink" Target="https://images.padelmesh.com/uploads/clubs/9943/logo/large/471935589_9171283276271722_4254111667786874810_n.jpg" TargetMode="External"/><Relationship Id="rId150" Type="http://schemas.openxmlformats.org/officeDocument/2006/relationships/hyperlink" Target="https://padelmesh.com/fr/tn/monastir/clubs/el-rulo-padel-club" TargetMode="External"/><Relationship Id="rId151" Type="http://schemas.openxmlformats.org/officeDocument/2006/relationships/hyperlink" Target="https://ballejaune.com/club/padelclubrivage/" TargetMode="External"/><Relationship Id="rId152" Type="http://schemas.openxmlformats.org/officeDocument/2006/relationships/hyperlink" Target="https://www.instagram.com/padel_club_rivage/" TargetMode="External"/><Relationship Id="rId153" Type="http://schemas.openxmlformats.org/officeDocument/2006/relationships/hyperlink" Target="https://images.padelmesh.com/uploads/clubs/9968/logo/large/506336698_17842271508517145_2982309207463224875_n.jpg" TargetMode="External"/><Relationship Id="rId154" Type="http://schemas.openxmlformats.org/officeDocument/2006/relationships/hyperlink" Target="https://padelmesh.com/fr/tn/monastir/clubs/padel-club-rivage-monastir" TargetMode="External"/><Relationship Id="rId155" Type="http://schemas.openxmlformats.org/officeDocument/2006/relationships/hyperlink" Target="https://www.instagram.com/b9_padel_mahdia/" TargetMode="External"/><Relationship Id="rId156" Type="http://schemas.openxmlformats.org/officeDocument/2006/relationships/hyperlink" Target="https://images.padelmesh.com/uploads/clubs/9939/logo/large/631472815_17849686077672866_2500516595974140799_n.jpg" TargetMode="External"/><Relationship Id="rId157" Type="http://schemas.openxmlformats.org/officeDocument/2006/relationships/hyperlink" Target="https://padelmesh.com/fr/tn/mahdia/clubs/b9-padel-club-mahdia" TargetMode="External"/><Relationship Id="rId158" Type="http://schemas.openxmlformats.org/officeDocument/2006/relationships/hyperlink" Target="https://ballejaune.com/club/padelfactory" TargetMode="External"/><Relationship Id="rId159" Type="http://schemas.openxmlformats.org/officeDocument/2006/relationships/hyperlink" Target="https://www.facebook.com/profile.php?id=61572865807825" TargetMode="External"/><Relationship Id="rId160" Type="http://schemas.openxmlformats.org/officeDocument/2006/relationships/hyperlink" Target="https://images.padelmesh.com/uploads/clubs/9918/logo/large/476094541_10232202507420042_5945433973017028790_n.jpg" TargetMode="External"/><Relationship Id="rId161" Type="http://schemas.openxmlformats.org/officeDocument/2006/relationships/hyperlink" Target="https://padelmesh.com/fr/tn/dar-chaabane/clubs/padel-factory-dar-chaabane" TargetMode="External"/><Relationship Id="rId162" Type="http://schemas.openxmlformats.org/officeDocument/2006/relationships/hyperlink" Target="https://www.facebook.com/p/Mrad-Padel-61575817288911/" TargetMode="External"/><Relationship Id="rId163" Type="http://schemas.openxmlformats.org/officeDocument/2006/relationships/hyperlink" Target="https://www.instagram.com/mrad.padel/" TargetMode="External"/><Relationship Id="rId164" Type="http://schemas.openxmlformats.org/officeDocument/2006/relationships/hyperlink" Target="https://images.padelmesh.com/uploads/clubs/9931/logo/large/654019224_17880879153479879_946592436878726695_n.jpg" TargetMode="External"/><Relationship Id="rId165" Type="http://schemas.openxmlformats.org/officeDocument/2006/relationships/hyperlink" Target="https://padelmesh.com/fr/tn/hammamet/clubs/mrad-s-fitness-park-mrad-padel" TargetMode="External"/><Relationship Id="rId166" Type="http://schemas.openxmlformats.org/officeDocument/2006/relationships/hyperlink" Target="https://openresa.com/club/onepadel/pages/reservation-tarification" TargetMode="External"/><Relationship Id="rId167" Type="http://schemas.openxmlformats.org/officeDocument/2006/relationships/hyperlink" Target="https://www.facebook.com/people/ONE-PADEL/61575190812546/" TargetMode="External"/><Relationship Id="rId168" Type="http://schemas.openxmlformats.org/officeDocument/2006/relationships/hyperlink" Target="https://www.instagram.com/one.padel.tn/" TargetMode="External"/><Relationship Id="rId169" Type="http://schemas.openxmlformats.org/officeDocument/2006/relationships/hyperlink" Target="https://padelmesh.com/fr/tn/hammamet/clubs/one-padel" TargetMode="External"/><Relationship Id="rId170" Type="http://schemas.openxmlformats.org/officeDocument/2006/relationships/hyperlink" Target="https://www.instagram.com/goplaypadelhammamet/" TargetMode="External"/><Relationship Id="rId171" Type="http://schemas.openxmlformats.org/officeDocument/2006/relationships/hyperlink" Target="https://images.padelmesh.com/uploads/clubs/9914/logo/large/505766651_17883071913312009_8673491799361843527_n.jpg" TargetMode="External"/><Relationship Id="rId172" Type="http://schemas.openxmlformats.org/officeDocument/2006/relationships/hyperlink" Target="https://padelmesh.com/fr/tn/hammamet/clubs/go-play-padel" TargetMode="External"/><Relationship Id="rId173" Type="http://schemas.openxmlformats.org/officeDocument/2006/relationships/hyperlink" Target="https://www.instagram.com/padel_club_hammamet/" TargetMode="External"/><Relationship Id="rId174" Type="http://schemas.openxmlformats.org/officeDocument/2006/relationships/hyperlink" Target="https://images.padelmesh.com/uploads/clubs/9932/logo/large/670306814_18077280983235968_5865229285671342892_n.jpg" TargetMode="External"/><Relationship Id="rId175" Type="http://schemas.openxmlformats.org/officeDocument/2006/relationships/hyperlink" Target="https://padelmesh.com/fr/tn/hammamet/clubs/padel-club-hammamet" TargetMode="External"/><Relationship Id="rId176" Type="http://schemas.openxmlformats.org/officeDocument/2006/relationships/hyperlink" Target="http://padelkelibia.com/" TargetMode="External"/><Relationship Id="rId177" Type="http://schemas.openxmlformats.org/officeDocument/2006/relationships/hyperlink" Target="https://www.instagram.com/padelclubkelibia/" TargetMode="External"/><Relationship Id="rId178" Type="http://schemas.openxmlformats.org/officeDocument/2006/relationships/hyperlink" Target="https://images.padelmesh.com/uploads/clubs/9934/logo/large/731652609_18103100338991527_8728722504478456173_n.jpg" TargetMode="External"/><Relationship Id="rId179" Type="http://schemas.openxmlformats.org/officeDocument/2006/relationships/hyperlink" Target="https://padelmesh.com/fr/tn/kelibia/clubs/padel-club-kelibia" TargetMode="External"/><Relationship Id="rId180" Type="http://schemas.openxmlformats.org/officeDocument/2006/relationships/hyperlink" Target="https://openresa.com/club/Opadel" TargetMode="External"/><Relationship Id="rId181" Type="http://schemas.openxmlformats.org/officeDocument/2006/relationships/hyperlink" Target="https://www.instagram.com/opadel.nabeul/" TargetMode="External"/><Relationship Id="rId182" Type="http://schemas.openxmlformats.org/officeDocument/2006/relationships/hyperlink" Target="https://images.padelmesh.com/uploads/clubs/9945/logo/large/431085775_259878190495089_5238332175220216970_n.jpg" TargetMode="External"/><Relationship Id="rId183" Type="http://schemas.openxmlformats.org/officeDocument/2006/relationships/hyperlink" Target="https://padelmesh.com/fr/tn/nabeul/clubs/o-padel" TargetMode="External"/><Relationship Id="rId184" Type="http://schemas.openxmlformats.org/officeDocument/2006/relationships/hyperlink" Target="https://sportreserve.app/reserver" TargetMode="External"/><Relationship Id="rId185" Type="http://schemas.openxmlformats.org/officeDocument/2006/relationships/hyperlink" Target="https://www.facebook.com/profile.php?id=61576659545700" TargetMode="External"/><Relationship Id="rId186" Type="http://schemas.openxmlformats.org/officeDocument/2006/relationships/hyperlink" Target="https://www.instagram.com/bourgo_arena_djerba/" TargetMode="External"/><Relationship Id="rId187" Type="http://schemas.openxmlformats.org/officeDocument/2006/relationships/hyperlink" Target="https://images.padelmesh.com/uploads/clubs/9919/logo/large/587015956_17867204130497861_2310295139535052906_n.jpg" TargetMode="External"/><Relationship Id="rId188" Type="http://schemas.openxmlformats.org/officeDocument/2006/relationships/hyperlink" Target="https://padelmesh.com/fr/tn/djerba/clubs/bourgo-arena" TargetMode="External"/><Relationship Id="rId189" Type="http://schemas.openxmlformats.org/officeDocument/2006/relationships/hyperlink" Target="https://djerbacountryclub.com/" TargetMode="External"/><Relationship Id="rId190" Type="http://schemas.openxmlformats.org/officeDocument/2006/relationships/hyperlink" Target="https://padelmesh.com/fr/tn/djerba/clubs/padel-djerba-country-club" TargetMode="External"/><Relationship Id="rId191" Type="http://schemas.openxmlformats.org/officeDocument/2006/relationships/hyperlink" Target="https://www.planetsportsdjerba.com/reservation" TargetMode="External"/><Relationship Id="rId192" Type="http://schemas.openxmlformats.org/officeDocument/2006/relationships/hyperlink" Target="https://www.facebook.com/PSDjerba" TargetMode="External"/><Relationship Id="rId193" Type="http://schemas.openxmlformats.org/officeDocument/2006/relationships/hyperlink" Target="https://www.instagram.com/planet_sport_djerba/" TargetMode="External"/><Relationship Id="rId194" Type="http://schemas.openxmlformats.org/officeDocument/2006/relationships/hyperlink" Target="https://images.padelmesh.com/uploads/clubs/9922/logo/large/514488131_17911781322158459_3513432287849552478_n.jpg" TargetMode="External"/><Relationship Id="rId195" Type="http://schemas.openxmlformats.org/officeDocument/2006/relationships/hyperlink" Target="https://padelmesh.com/fr/tn/djerba/clubs/padel-wadez" TargetMode="External"/><Relationship Id="rId196" Type="http://schemas.openxmlformats.org/officeDocument/2006/relationships/hyperlink" Target="https://www.instagram.com/ClubPadelDjerba" TargetMode="External"/><Relationship Id="rId197" Type="http://schemas.openxmlformats.org/officeDocument/2006/relationships/hyperlink" Target="https://images.padelmesh.com/uploads/clubs/9920/logo/large/766074405_17920261248412783_2401091083095347603_n.jpg" TargetMode="External"/><Relationship Id="rId198" Type="http://schemas.openxmlformats.org/officeDocument/2006/relationships/hyperlink" Target="https://padelmesh.com/fr/tn/djerba/clubs/club-padel-djerba" TargetMode="External"/><Relationship Id="rId199" Type="http://schemas.openxmlformats.org/officeDocument/2006/relationships/hyperlink" Target="https://www.facebook.com/Leskycafelounge/" TargetMode="External"/><Relationship Id="rId200" Type="http://schemas.openxmlformats.org/officeDocument/2006/relationships/hyperlink" Target="https://www.instagram.com/padel.park.sky/" TargetMode="External"/><Relationship Id="rId201" Type="http://schemas.openxmlformats.org/officeDocument/2006/relationships/hyperlink" Target="https://images.padelmesh.com/uploads/clubs/9926/logo/large/505414646_1179779354181939_5304960963816911886_n.jpg" TargetMode="External"/><Relationship Id="rId202" Type="http://schemas.openxmlformats.org/officeDocument/2006/relationships/hyperlink" Target="https://padelmesh.com/fr/tn/gabes/clubs/padel-park-sky" TargetMode="External"/><Relationship Id="rId203" Type="http://schemas.openxmlformats.org/officeDocument/2006/relationships/hyperlink" Target="https://www.instagram.com/la_vingtaine_padel_club/" TargetMode="External"/><Relationship Id="rId204" Type="http://schemas.openxmlformats.org/officeDocument/2006/relationships/hyperlink" Target="https://images.padelmesh.com/uploads/clubs/9925/logo/large/764517856_17901423864473378_9072910235109171358_n.jpg" TargetMode="External"/><Relationship Id="rId205" Type="http://schemas.openxmlformats.org/officeDocument/2006/relationships/hyperlink" Target="https://padelmesh.com/fr/tn/gabes/clubs/padel-club-gabes-la-vingtaine" TargetMode="External"/><Relationship Id="rId206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tn.padelgig.com/post/o&#249;-jouer-au-padel-en-tunisie" TargetMode="External"/><Relationship Id="rId2" Type="http://schemas.openxmlformats.org/officeDocument/2006/relationships/hyperlink" Target="https://www.automobile.tn/fr/magazine/actu/2026-01-12-inauguration-de-lavantier-club-au-lac-1-et-livraison-du-premier-lot-de-lavantier-commuter.html" TargetMode="External"/><Relationship Id="rId3" Type="http://schemas.openxmlformats.org/officeDocument/2006/relationships/hyperlink" Target="https://padeltunisia.com/?page_id=446" TargetMode="External"/><Relationship Id="rId4" Type="http://schemas.openxmlformats.org/officeDocument/2006/relationships/hyperlink" Target="https://padeltunisia.com/" TargetMode="External"/><Relationship Id="rId5" Type="http://schemas.openxmlformats.org/officeDocument/2006/relationships/hyperlink" Target="https://padeltunisia.com/?page_id=44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7"/>
    <col collapsed="false" customWidth="true" hidden="false" outlineLevel="0" max="6" min="6" style="0" width="16"/>
    <col collapsed="false" customWidth="true" hidden="false" outlineLevel="0" max="7" min="7" style="0" width="40"/>
    <col collapsed="false" customWidth="true" hidden="false" outlineLevel="0" max="8" min="8" style="0" width="24"/>
    <col collapsed="false" customWidth="true" hidden="false" outlineLevel="0" max="11" min="9" style="0" width="11"/>
    <col collapsed="false" customWidth="true" hidden="false" outlineLevel="0" max="12" min="12" style="0" width="30"/>
    <col collapsed="false" customWidth="true" hidden="false" outlineLevel="0" max="13" min="13" style="0" width="10"/>
    <col collapsed="false" customWidth="true" hidden="false" outlineLevel="0" max="14" min="14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52.2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n">
        <v>1</v>
      </c>
      <c r="B5" s="4" t="s">
        <v>16</v>
      </c>
      <c r="C5" s="4" t="s">
        <v>17</v>
      </c>
      <c r="D5" s="5" t="s">
        <v>18</v>
      </c>
      <c r="E5" s="4" t="n">
        <v>3</v>
      </c>
      <c r="F5" s="4" t="s">
        <v>19</v>
      </c>
      <c r="G5" s="4" t="s">
        <v>20</v>
      </c>
      <c r="H5" s="4" t="s">
        <v>21</v>
      </c>
      <c r="I5" s="6" t="s">
        <v>22</v>
      </c>
      <c r="J5" s="6" t="s">
        <v>11</v>
      </c>
      <c r="K5" s="6" t="s">
        <v>12</v>
      </c>
      <c r="L5" s="4" t="s">
        <v>23</v>
      </c>
      <c r="M5" s="6" t="s">
        <v>24</v>
      </c>
      <c r="N5" s="6" t="s">
        <v>25</v>
      </c>
    </row>
    <row r="6" customFormat="false" ht="23.85" hidden="false" customHeight="false" outlineLevel="0" collapsed="false">
      <c r="A6" s="7" t="n">
        <v>2</v>
      </c>
      <c r="B6" s="7" t="s">
        <v>16</v>
      </c>
      <c r="C6" s="7" t="s">
        <v>26</v>
      </c>
      <c r="D6" s="8" t="s">
        <v>27</v>
      </c>
      <c r="E6" s="7" t="n">
        <v>5</v>
      </c>
      <c r="F6" s="7" t="s">
        <v>28</v>
      </c>
      <c r="G6" s="7" t="s">
        <v>29</v>
      </c>
      <c r="H6" s="7" t="s">
        <v>30</v>
      </c>
      <c r="I6" s="7" t="s">
        <v>31</v>
      </c>
      <c r="J6" s="9" t="s">
        <v>11</v>
      </c>
      <c r="K6" s="7" t="s">
        <v>31</v>
      </c>
      <c r="L6" s="7" t="s">
        <v>32</v>
      </c>
      <c r="M6" s="9" t="s">
        <v>24</v>
      </c>
      <c r="N6" s="9" t="s">
        <v>25</v>
      </c>
    </row>
    <row r="7" customFormat="false" ht="15" hidden="false" customHeight="false" outlineLevel="0" collapsed="false">
      <c r="A7" s="4" t="n">
        <v>3</v>
      </c>
      <c r="B7" s="4" t="s">
        <v>16</v>
      </c>
      <c r="C7" s="4" t="s">
        <v>33</v>
      </c>
      <c r="D7" s="5" t="s">
        <v>34</v>
      </c>
      <c r="E7" s="4" t="n">
        <v>4</v>
      </c>
      <c r="F7" s="4" t="s">
        <v>19</v>
      </c>
      <c r="G7" s="4" t="s">
        <v>35</v>
      </c>
      <c r="H7" s="4" t="s">
        <v>36</v>
      </c>
      <c r="I7" s="4" t="s">
        <v>31</v>
      </c>
      <c r="J7" s="4" t="s">
        <v>31</v>
      </c>
      <c r="K7" s="6" t="s">
        <v>12</v>
      </c>
      <c r="L7" s="4" t="s">
        <v>37</v>
      </c>
      <c r="M7" s="6" t="s">
        <v>24</v>
      </c>
      <c r="N7" s="6" t="s">
        <v>25</v>
      </c>
    </row>
    <row r="8" customFormat="false" ht="15" hidden="false" customHeight="false" outlineLevel="0" collapsed="false">
      <c r="A8" s="7" t="n">
        <v>4</v>
      </c>
      <c r="B8" s="7" t="s">
        <v>16</v>
      </c>
      <c r="C8" s="7" t="s">
        <v>38</v>
      </c>
      <c r="D8" s="8" t="s">
        <v>39</v>
      </c>
      <c r="E8" s="7" t="n">
        <v>2</v>
      </c>
      <c r="F8" s="7" t="s">
        <v>40</v>
      </c>
      <c r="G8" s="7" t="s">
        <v>41</v>
      </c>
      <c r="H8" s="7" t="s">
        <v>42</v>
      </c>
      <c r="I8" s="7" t="s">
        <v>31</v>
      </c>
      <c r="J8" s="9" t="s">
        <v>11</v>
      </c>
      <c r="K8" s="9" t="s">
        <v>12</v>
      </c>
      <c r="L8" s="7" t="s">
        <v>32</v>
      </c>
      <c r="M8" s="9" t="s">
        <v>24</v>
      </c>
      <c r="N8" s="9" t="s">
        <v>25</v>
      </c>
    </row>
    <row r="9" customFormat="false" ht="15" hidden="false" customHeight="false" outlineLevel="0" collapsed="false">
      <c r="A9" s="4" t="n">
        <v>5</v>
      </c>
      <c r="B9" s="4" t="s">
        <v>16</v>
      </c>
      <c r="C9" s="4" t="s">
        <v>43</v>
      </c>
      <c r="D9" s="5" t="s">
        <v>44</v>
      </c>
      <c r="E9" s="4" t="n">
        <v>3</v>
      </c>
      <c r="F9" s="4" t="s">
        <v>19</v>
      </c>
      <c r="G9" s="4" t="s">
        <v>45</v>
      </c>
      <c r="H9" s="4" t="s">
        <v>46</v>
      </c>
      <c r="I9" s="6" t="s">
        <v>22</v>
      </c>
      <c r="J9" s="4" t="s">
        <v>31</v>
      </c>
      <c r="K9" s="4" t="s">
        <v>31</v>
      </c>
      <c r="L9" s="4" t="s">
        <v>47</v>
      </c>
      <c r="M9" s="4" t="s">
        <v>31</v>
      </c>
      <c r="N9" s="6" t="s">
        <v>25</v>
      </c>
    </row>
    <row r="10" customFormat="false" ht="23.85" hidden="false" customHeight="false" outlineLevel="0" collapsed="false">
      <c r="A10" s="7" t="n">
        <v>6</v>
      </c>
      <c r="B10" s="7" t="s">
        <v>16</v>
      </c>
      <c r="C10" s="7" t="s">
        <v>48</v>
      </c>
      <c r="D10" s="8" t="s">
        <v>49</v>
      </c>
      <c r="E10" s="7" t="n">
        <v>2</v>
      </c>
      <c r="F10" s="7" t="s">
        <v>19</v>
      </c>
      <c r="G10" s="7" t="s">
        <v>50</v>
      </c>
      <c r="H10" s="7" t="s">
        <v>51</v>
      </c>
      <c r="I10" s="7" t="s">
        <v>31</v>
      </c>
      <c r="J10" s="9" t="s">
        <v>11</v>
      </c>
      <c r="K10" s="9" t="s">
        <v>12</v>
      </c>
      <c r="L10" s="7" t="s">
        <v>52</v>
      </c>
      <c r="M10" s="7" t="s">
        <v>31</v>
      </c>
      <c r="N10" s="9" t="s">
        <v>25</v>
      </c>
    </row>
    <row r="11" customFormat="false" ht="15" hidden="false" customHeight="false" outlineLevel="0" collapsed="false">
      <c r="A11" s="4" t="n">
        <v>7</v>
      </c>
      <c r="B11" s="4" t="s">
        <v>16</v>
      </c>
      <c r="C11" s="4" t="s">
        <v>53</v>
      </c>
      <c r="D11" s="5" t="s">
        <v>54</v>
      </c>
      <c r="E11" s="4" t="n">
        <v>2</v>
      </c>
      <c r="F11" s="4" t="s">
        <v>40</v>
      </c>
      <c r="G11" s="4" t="s">
        <v>55</v>
      </c>
      <c r="H11" s="4" t="s">
        <v>56</v>
      </c>
      <c r="I11" s="4" t="s">
        <v>31</v>
      </c>
      <c r="J11" s="4" t="s">
        <v>31</v>
      </c>
      <c r="K11" s="6" t="s">
        <v>12</v>
      </c>
      <c r="L11" s="4" t="s">
        <v>52</v>
      </c>
      <c r="M11" s="6" t="s">
        <v>24</v>
      </c>
      <c r="N11" s="6" t="s">
        <v>25</v>
      </c>
    </row>
    <row r="12" customFormat="false" ht="23.85" hidden="false" customHeight="false" outlineLevel="0" collapsed="false">
      <c r="A12" s="7" t="n">
        <v>8</v>
      </c>
      <c r="B12" s="7" t="s">
        <v>16</v>
      </c>
      <c r="C12" s="7" t="s">
        <v>57</v>
      </c>
      <c r="D12" s="8" t="s">
        <v>58</v>
      </c>
      <c r="E12" s="7" t="n">
        <v>5</v>
      </c>
      <c r="F12" s="7" t="s">
        <v>28</v>
      </c>
      <c r="G12" s="7" t="s">
        <v>59</v>
      </c>
      <c r="H12" s="7" t="s">
        <v>60</v>
      </c>
      <c r="I12" s="9" t="s">
        <v>22</v>
      </c>
      <c r="J12" s="7" t="s">
        <v>31</v>
      </c>
      <c r="K12" s="9" t="s">
        <v>12</v>
      </c>
      <c r="L12" s="7" t="s">
        <v>61</v>
      </c>
      <c r="M12" s="9" t="s">
        <v>24</v>
      </c>
      <c r="N12" s="9" t="s">
        <v>25</v>
      </c>
    </row>
    <row r="13" customFormat="false" ht="15" hidden="false" customHeight="false" outlineLevel="0" collapsed="false">
      <c r="A13" s="4" t="n">
        <v>9</v>
      </c>
      <c r="B13" s="4" t="s">
        <v>16</v>
      </c>
      <c r="C13" s="4" t="s">
        <v>62</v>
      </c>
      <c r="D13" s="5" t="s">
        <v>63</v>
      </c>
      <c r="E13" s="4" t="n">
        <v>3</v>
      </c>
      <c r="F13" s="4" t="s">
        <v>40</v>
      </c>
      <c r="G13" s="4" t="s">
        <v>64</v>
      </c>
      <c r="H13" s="4" t="s">
        <v>65</v>
      </c>
      <c r="I13" s="4" t="s">
        <v>31</v>
      </c>
      <c r="J13" s="6" t="s">
        <v>11</v>
      </c>
      <c r="K13" s="6" t="s">
        <v>12</v>
      </c>
      <c r="L13" s="4" t="s">
        <v>66</v>
      </c>
      <c r="M13" s="6" t="s">
        <v>24</v>
      </c>
      <c r="N13" s="6" t="s">
        <v>25</v>
      </c>
    </row>
    <row r="14" customFormat="false" ht="23.85" hidden="false" customHeight="false" outlineLevel="0" collapsed="false">
      <c r="A14" s="7" t="n">
        <v>10</v>
      </c>
      <c r="B14" s="7" t="s">
        <v>16</v>
      </c>
      <c r="C14" s="7" t="s">
        <v>67</v>
      </c>
      <c r="D14" s="8" t="s">
        <v>68</v>
      </c>
      <c r="E14" s="7" t="n">
        <v>4</v>
      </c>
      <c r="F14" s="7" t="s">
        <v>19</v>
      </c>
      <c r="G14" s="7" t="s">
        <v>69</v>
      </c>
      <c r="H14" s="7" t="s">
        <v>70</v>
      </c>
      <c r="I14" s="9" t="s">
        <v>22</v>
      </c>
      <c r="J14" s="9" t="s">
        <v>11</v>
      </c>
      <c r="K14" s="9" t="s">
        <v>12</v>
      </c>
      <c r="L14" s="7" t="s">
        <v>66</v>
      </c>
      <c r="M14" s="9" t="s">
        <v>24</v>
      </c>
      <c r="N14" s="9" t="s">
        <v>25</v>
      </c>
    </row>
    <row r="15" customFormat="false" ht="23.85" hidden="false" customHeight="false" outlineLevel="0" collapsed="false">
      <c r="A15" s="4" t="n">
        <v>11</v>
      </c>
      <c r="B15" s="4" t="s">
        <v>16</v>
      </c>
      <c r="C15" s="4" t="s">
        <v>71</v>
      </c>
      <c r="D15" s="5" t="s">
        <v>72</v>
      </c>
      <c r="E15" s="4" t="n">
        <v>5</v>
      </c>
      <c r="F15" s="4" t="s">
        <v>73</v>
      </c>
      <c r="G15" s="4" t="s">
        <v>74</v>
      </c>
      <c r="H15" s="4" t="s">
        <v>75</v>
      </c>
      <c r="I15" s="4" t="s">
        <v>31</v>
      </c>
      <c r="J15" s="4" t="s">
        <v>31</v>
      </c>
      <c r="K15" s="6" t="s">
        <v>12</v>
      </c>
      <c r="L15" s="4" t="s">
        <v>76</v>
      </c>
      <c r="M15" s="6" t="s">
        <v>24</v>
      </c>
      <c r="N15" s="6" t="s">
        <v>25</v>
      </c>
    </row>
    <row r="16" customFormat="false" ht="15" hidden="false" customHeight="false" outlineLevel="0" collapsed="false">
      <c r="A16" s="7" t="n">
        <v>12</v>
      </c>
      <c r="B16" s="7" t="s">
        <v>16</v>
      </c>
      <c r="C16" s="7" t="s">
        <v>71</v>
      </c>
      <c r="D16" s="8" t="s">
        <v>77</v>
      </c>
      <c r="E16" s="7" t="n">
        <v>2</v>
      </c>
      <c r="F16" s="7" t="s">
        <v>19</v>
      </c>
      <c r="G16" s="7" t="s">
        <v>78</v>
      </c>
      <c r="H16" s="7" t="s">
        <v>79</v>
      </c>
      <c r="I16" s="7" t="s">
        <v>31</v>
      </c>
      <c r="J16" s="7" t="s">
        <v>31</v>
      </c>
      <c r="K16" s="9" t="s">
        <v>12</v>
      </c>
      <c r="L16" s="7" t="s">
        <v>31</v>
      </c>
      <c r="M16" s="9" t="s">
        <v>24</v>
      </c>
      <c r="N16" s="9" t="s">
        <v>25</v>
      </c>
    </row>
    <row r="17" customFormat="false" ht="15" hidden="false" customHeight="false" outlineLevel="0" collapsed="false">
      <c r="A17" s="4" t="n">
        <v>13</v>
      </c>
      <c r="B17" s="4" t="s">
        <v>16</v>
      </c>
      <c r="C17" s="4" t="s">
        <v>71</v>
      </c>
      <c r="D17" s="5" t="s">
        <v>80</v>
      </c>
      <c r="E17" s="4" t="n">
        <v>1</v>
      </c>
      <c r="F17" s="4" t="s">
        <v>40</v>
      </c>
      <c r="G17" s="4" t="s">
        <v>81</v>
      </c>
      <c r="H17" s="4" t="s">
        <v>82</v>
      </c>
      <c r="I17" s="6" t="s">
        <v>22</v>
      </c>
      <c r="J17" s="4" t="s">
        <v>31</v>
      </c>
      <c r="K17" s="6" t="s">
        <v>12</v>
      </c>
      <c r="L17" s="4" t="s">
        <v>83</v>
      </c>
      <c r="M17" s="6" t="s">
        <v>24</v>
      </c>
      <c r="N17" s="6" t="s">
        <v>25</v>
      </c>
    </row>
    <row r="18" customFormat="false" ht="23.85" hidden="false" customHeight="false" outlineLevel="0" collapsed="false">
      <c r="A18" s="7" t="n">
        <v>14</v>
      </c>
      <c r="B18" s="7" t="s">
        <v>16</v>
      </c>
      <c r="C18" s="7" t="s">
        <v>84</v>
      </c>
      <c r="D18" s="8" t="s">
        <v>85</v>
      </c>
      <c r="E18" s="7" t="n">
        <v>3</v>
      </c>
      <c r="F18" s="7" t="s">
        <v>19</v>
      </c>
      <c r="G18" s="7" t="s">
        <v>86</v>
      </c>
      <c r="H18" s="7" t="s">
        <v>87</v>
      </c>
      <c r="I18" s="9" t="s">
        <v>22</v>
      </c>
      <c r="J18" s="7" t="s">
        <v>31</v>
      </c>
      <c r="K18" s="9" t="s">
        <v>12</v>
      </c>
      <c r="L18" s="7" t="s">
        <v>52</v>
      </c>
      <c r="M18" s="9" t="s">
        <v>24</v>
      </c>
      <c r="N18" s="9" t="s">
        <v>25</v>
      </c>
    </row>
    <row r="19" customFormat="false" ht="15" hidden="false" customHeight="false" outlineLevel="0" collapsed="false">
      <c r="A19" s="4" t="n">
        <v>15</v>
      </c>
      <c r="B19" s="4" t="s">
        <v>16</v>
      </c>
      <c r="C19" s="4" t="s">
        <v>88</v>
      </c>
      <c r="D19" s="5" t="s">
        <v>89</v>
      </c>
      <c r="E19" s="4"/>
      <c r="F19" s="4"/>
      <c r="G19" s="4" t="s">
        <v>90</v>
      </c>
      <c r="H19" s="4" t="s">
        <v>91</v>
      </c>
      <c r="I19" s="4" t="s">
        <v>31</v>
      </c>
      <c r="J19" s="6" t="s">
        <v>11</v>
      </c>
      <c r="K19" s="6" t="s">
        <v>12</v>
      </c>
      <c r="L19" s="4" t="s">
        <v>47</v>
      </c>
      <c r="M19" s="6" t="s">
        <v>24</v>
      </c>
      <c r="N19" s="6" t="s">
        <v>25</v>
      </c>
    </row>
    <row r="20" customFormat="false" ht="15" hidden="false" customHeight="false" outlineLevel="0" collapsed="false">
      <c r="A20" s="7" t="n">
        <v>16</v>
      </c>
      <c r="B20" s="7" t="s">
        <v>16</v>
      </c>
      <c r="C20" s="7" t="s">
        <v>92</v>
      </c>
      <c r="D20" s="8" t="s">
        <v>93</v>
      </c>
      <c r="E20" s="7" t="n">
        <v>4</v>
      </c>
      <c r="F20" s="7" t="s">
        <v>19</v>
      </c>
      <c r="G20" s="7" t="s">
        <v>94</v>
      </c>
      <c r="H20" s="7" t="s">
        <v>95</v>
      </c>
      <c r="I20" s="7" t="s">
        <v>31</v>
      </c>
      <c r="J20" s="7" t="s">
        <v>31</v>
      </c>
      <c r="K20" s="9" t="s">
        <v>12</v>
      </c>
      <c r="L20" s="7" t="s">
        <v>96</v>
      </c>
      <c r="M20" s="9" t="s">
        <v>24</v>
      </c>
      <c r="N20" s="9" t="s">
        <v>25</v>
      </c>
    </row>
    <row r="21" customFormat="false" ht="23.85" hidden="false" customHeight="false" outlineLevel="0" collapsed="false">
      <c r="A21" s="4" t="n">
        <v>17</v>
      </c>
      <c r="B21" s="4" t="s">
        <v>16</v>
      </c>
      <c r="C21" s="4" t="s">
        <v>92</v>
      </c>
      <c r="D21" s="5" t="s">
        <v>97</v>
      </c>
      <c r="E21" s="4" t="n">
        <v>5</v>
      </c>
      <c r="F21" s="4" t="s">
        <v>19</v>
      </c>
      <c r="G21" s="4" t="s">
        <v>98</v>
      </c>
      <c r="H21" s="4" t="s">
        <v>99</v>
      </c>
      <c r="I21" s="6" t="s">
        <v>22</v>
      </c>
      <c r="J21" s="4" t="s">
        <v>31</v>
      </c>
      <c r="K21" s="6" t="s">
        <v>12</v>
      </c>
      <c r="L21" s="4" t="s">
        <v>100</v>
      </c>
      <c r="M21" s="6" t="s">
        <v>24</v>
      </c>
      <c r="N21" s="6" t="s">
        <v>25</v>
      </c>
    </row>
    <row r="22" customFormat="false" ht="15" hidden="false" customHeight="false" outlineLevel="0" collapsed="false">
      <c r="A22" s="7" t="n">
        <v>18</v>
      </c>
      <c r="B22" s="7" t="s">
        <v>16</v>
      </c>
      <c r="C22" s="7" t="s">
        <v>101</v>
      </c>
      <c r="D22" s="8" t="s">
        <v>102</v>
      </c>
      <c r="E22" s="7" t="n">
        <v>10</v>
      </c>
      <c r="F22" s="7" t="s">
        <v>19</v>
      </c>
      <c r="G22" s="7" t="s">
        <v>103</v>
      </c>
      <c r="H22" s="7" t="s">
        <v>104</v>
      </c>
      <c r="I22" s="9" t="s">
        <v>22</v>
      </c>
      <c r="J22" s="7" t="s">
        <v>31</v>
      </c>
      <c r="K22" s="9" t="s">
        <v>12</v>
      </c>
      <c r="L22" s="7" t="s">
        <v>105</v>
      </c>
      <c r="M22" s="9" t="s">
        <v>24</v>
      </c>
      <c r="N22" s="9" t="s">
        <v>25</v>
      </c>
    </row>
    <row r="23" customFormat="false" ht="23.85" hidden="false" customHeight="false" outlineLevel="0" collapsed="false">
      <c r="A23" s="4" t="n">
        <v>19</v>
      </c>
      <c r="B23" s="4" t="s">
        <v>16</v>
      </c>
      <c r="C23" s="4" t="s">
        <v>106</v>
      </c>
      <c r="D23" s="5" t="s">
        <v>107</v>
      </c>
      <c r="E23" s="4" t="n">
        <v>3</v>
      </c>
      <c r="F23" s="4" t="s">
        <v>40</v>
      </c>
      <c r="G23" s="4" t="s">
        <v>108</v>
      </c>
      <c r="H23" s="4" t="s">
        <v>109</v>
      </c>
      <c r="I23" s="6" t="s">
        <v>22</v>
      </c>
      <c r="J23" s="4" t="s">
        <v>31</v>
      </c>
      <c r="K23" s="4" t="s">
        <v>31</v>
      </c>
      <c r="L23" s="4" t="s">
        <v>110</v>
      </c>
      <c r="M23" s="6" t="s">
        <v>24</v>
      </c>
      <c r="N23" s="6" t="s">
        <v>25</v>
      </c>
    </row>
    <row r="24" customFormat="false" ht="15" hidden="false" customHeight="false" outlineLevel="0" collapsed="false">
      <c r="A24" s="7" t="n">
        <v>20</v>
      </c>
      <c r="B24" s="7" t="s">
        <v>16</v>
      </c>
      <c r="C24" s="7" t="s">
        <v>111</v>
      </c>
      <c r="D24" s="8" t="s">
        <v>112</v>
      </c>
      <c r="E24" s="7" t="n">
        <v>4</v>
      </c>
      <c r="F24" s="7" t="s">
        <v>40</v>
      </c>
      <c r="G24" s="7" t="s">
        <v>113</v>
      </c>
      <c r="H24" s="7" t="s">
        <v>114</v>
      </c>
      <c r="I24" s="7" t="s">
        <v>31</v>
      </c>
      <c r="J24" s="7" t="s">
        <v>31</v>
      </c>
      <c r="K24" s="9" t="s">
        <v>12</v>
      </c>
      <c r="L24" s="7" t="s">
        <v>115</v>
      </c>
      <c r="M24" s="9" t="s">
        <v>24</v>
      </c>
      <c r="N24" s="9" t="s">
        <v>25</v>
      </c>
    </row>
    <row r="25" customFormat="false" ht="15" hidden="false" customHeight="false" outlineLevel="0" collapsed="false">
      <c r="A25" s="4" t="n">
        <v>21</v>
      </c>
      <c r="B25" s="4" t="s">
        <v>16</v>
      </c>
      <c r="C25" s="4" t="s">
        <v>116</v>
      </c>
      <c r="D25" s="5" t="s">
        <v>117</v>
      </c>
      <c r="E25" s="4" t="n">
        <v>3</v>
      </c>
      <c r="F25" s="4" t="s">
        <v>19</v>
      </c>
      <c r="G25" s="4" t="s">
        <v>118</v>
      </c>
      <c r="H25" s="4" t="s">
        <v>119</v>
      </c>
      <c r="I25" s="6" t="s">
        <v>22</v>
      </c>
      <c r="J25" s="6" t="s">
        <v>11</v>
      </c>
      <c r="K25" s="6" t="s">
        <v>12</v>
      </c>
      <c r="L25" s="4" t="s">
        <v>52</v>
      </c>
      <c r="M25" s="6" t="s">
        <v>24</v>
      </c>
      <c r="N25" s="6" t="s">
        <v>25</v>
      </c>
    </row>
    <row r="26" customFormat="false" ht="15" hidden="false" customHeight="false" outlineLevel="0" collapsed="false">
      <c r="A26" s="7" t="n">
        <v>22</v>
      </c>
      <c r="B26" s="7" t="s">
        <v>120</v>
      </c>
      <c r="C26" s="7" t="s">
        <v>121</v>
      </c>
      <c r="D26" s="8" t="s">
        <v>122</v>
      </c>
      <c r="E26" s="7" t="n">
        <v>4</v>
      </c>
      <c r="F26" s="7" t="s">
        <v>19</v>
      </c>
      <c r="G26" s="7" t="s">
        <v>123</v>
      </c>
      <c r="H26" s="7" t="s">
        <v>124</v>
      </c>
      <c r="I26" s="9" t="s">
        <v>22</v>
      </c>
      <c r="J26" s="9" t="s">
        <v>11</v>
      </c>
      <c r="K26" s="9" t="s">
        <v>12</v>
      </c>
      <c r="L26" s="7" t="s">
        <v>125</v>
      </c>
      <c r="M26" s="9" t="s">
        <v>24</v>
      </c>
      <c r="N26" s="9" t="s">
        <v>25</v>
      </c>
    </row>
    <row r="27" customFormat="false" ht="15" hidden="false" customHeight="false" outlineLevel="0" collapsed="false">
      <c r="A27" s="4" t="n">
        <v>23</v>
      </c>
      <c r="B27" s="4" t="s">
        <v>120</v>
      </c>
      <c r="C27" s="4" t="s">
        <v>121</v>
      </c>
      <c r="D27" s="5" t="s">
        <v>126</v>
      </c>
      <c r="E27" s="4" t="n">
        <v>2</v>
      </c>
      <c r="F27" s="4" t="s">
        <v>19</v>
      </c>
      <c r="G27" s="4" t="s">
        <v>127</v>
      </c>
      <c r="H27" s="4" t="s">
        <v>128</v>
      </c>
      <c r="I27" s="6" t="s">
        <v>22</v>
      </c>
      <c r="J27" s="6" t="s">
        <v>11</v>
      </c>
      <c r="K27" s="6" t="s">
        <v>12</v>
      </c>
      <c r="L27" s="4" t="s">
        <v>52</v>
      </c>
      <c r="M27" s="6" t="s">
        <v>24</v>
      </c>
      <c r="N27" s="6" t="s">
        <v>25</v>
      </c>
    </row>
    <row r="28" customFormat="false" ht="15" hidden="false" customHeight="false" outlineLevel="0" collapsed="false">
      <c r="A28" s="7" t="n">
        <v>24</v>
      </c>
      <c r="B28" s="7" t="s">
        <v>120</v>
      </c>
      <c r="C28" s="7" t="s">
        <v>121</v>
      </c>
      <c r="D28" s="8" t="s">
        <v>129</v>
      </c>
      <c r="E28" s="7" t="n">
        <v>4</v>
      </c>
      <c r="F28" s="7" t="s">
        <v>19</v>
      </c>
      <c r="G28" s="7" t="s">
        <v>130</v>
      </c>
      <c r="H28" s="7" t="s">
        <v>131</v>
      </c>
      <c r="I28" s="9" t="s">
        <v>22</v>
      </c>
      <c r="J28" s="9" t="s">
        <v>11</v>
      </c>
      <c r="K28" s="9" t="s">
        <v>12</v>
      </c>
      <c r="L28" s="7" t="s">
        <v>52</v>
      </c>
      <c r="M28" s="9" t="s">
        <v>24</v>
      </c>
      <c r="N28" s="9" t="s">
        <v>25</v>
      </c>
    </row>
    <row r="29" customFormat="false" ht="23.85" hidden="false" customHeight="false" outlineLevel="0" collapsed="false">
      <c r="A29" s="4" t="n">
        <v>25</v>
      </c>
      <c r="B29" s="4" t="s">
        <v>120</v>
      </c>
      <c r="C29" s="4" t="s">
        <v>132</v>
      </c>
      <c r="D29" s="5" t="s">
        <v>133</v>
      </c>
      <c r="E29" s="4" t="n">
        <v>2</v>
      </c>
      <c r="F29" s="4" t="s">
        <v>40</v>
      </c>
      <c r="G29" s="4" t="s">
        <v>134</v>
      </c>
      <c r="H29" s="4" t="s">
        <v>135</v>
      </c>
      <c r="I29" s="6" t="s">
        <v>22</v>
      </c>
      <c r="J29" s="6" t="s">
        <v>11</v>
      </c>
      <c r="K29" s="6" t="s">
        <v>12</v>
      </c>
      <c r="L29" s="4" t="s">
        <v>136</v>
      </c>
      <c r="M29" s="6" t="s">
        <v>24</v>
      </c>
      <c r="N29" s="6" t="s">
        <v>25</v>
      </c>
    </row>
    <row r="30" customFormat="false" ht="15" hidden="false" customHeight="false" outlineLevel="0" collapsed="false">
      <c r="A30" s="7" t="n">
        <v>26</v>
      </c>
      <c r="B30" s="7" t="s">
        <v>120</v>
      </c>
      <c r="C30" s="7" t="s">
        <v>137</v>
      </c>
      <c r="D30" s="8" t="s">
        <v>138</v>
      </c>
      <c r="E30" s="7" t="n">
        <v>4</v>
      </c>
      <c r="F30" s="7" t="s">
        <v>19</v>
      </c>
      <c r="G30" s="7" t="s">
        <v>139</v>
      </c>
      <c r="H30" s="7" t="s">
        <v>140</v>
      </c>
      <c r="I30" s="9" t="s">
        <v>22</v>
      </c>
      <c r="J30" s="9" t="s">
        <v>11</v>
      </c>
      <c r="K30" s="9" t="s">
        <v>12</v>
      </c>
      <c r="L30" s="7" t="s">
        <v>52</v>
      </c>
      <c r="M30" s="9" t="s">
        <v>24</v>
      </c>
      <c r="N30" s="9" t="s">
        <v>25</v>
      </c>
    </row>
    <row r="31" customFormat="false" ht="15" hidden="false" customHeight="false" outlineLevel="0" collapsed="false">
      <c r="A31" s="4" t="n">
        <v>27</v>
      </c>
      <c r="B31" s="4" t="s">
        <v>120</v>
      </c>
      <c r="C31" s="4" t="s">
        <v>141</v>
      </c>
      <c r="D31" s="5" t="s">
        <v>142</v>
      </c>
      <c r="E31" s="4" t="n">
        <v>4</v>
      </c>
      <c r="F31" s="4" t="s">
        <v>40</v>
      </c>
      <c r="G31" s="4" t="s">
        <v>143</v>
      </c>
      <c r="H31" s="4" t="s">
        <v>144</v>
      </c>
      <c r="I31" s="6" t="s">
        <v>22</v>
      </c>
      <c r="J31" s="6" t="s">
        <v>11</v>
      </c>
      <c r="K31" s="6" t="s">
        <v>12</v>
      </c>
      <c r="L31" s="4" t="s">
        <v>145</v>
      </c>
      <c r="M31" s="6" t="s">
        <v>24</v>
      </c>
      <c r="N31" s="6" t="s">
        <v>25</v>
      </c>
    </row>
    <row r="32" customFormat="false" ht="15" hidden="false" customHeight="false" outlineLevel="0" collapsed="false">
      <c r="A32" s="7" t="n">
        <v>28</v>
      </c>
      <c r="B32" s="7" t="s">
        <v>120</v>
      </c>
      <c r="C32" s="7" t="s">
        <v>141</v>
      </c>
      <c r="D32" s="8" t="s">
        <v>146</v>
      </c>
      <c r="E32" s="7" t="n">
        <v>3</v>
      </c>
      <c r="F32" s="7" t="s">
        <v>40</v>
      </c>
      <c r="G32" s="7" t="s">
        <v>147</v>
      </c>
      <c r="H32" s="7" t="s">
        <v>148</v>
      </c>
      <c r="I32" s="7" t="s">
        <v>31</v>
      </c>
      <c r="J32" s="9" t="s">
        <v>11</v>
      </c>
      <c r="K32" s="9" t="s">
        <v>12</v>
      </c>
      <c r="L32" s="7" t="s">
        <v>149</v>
      </c>
      <c r="M32" s="9" t="s">
        <v>24</v>
      </c>
      <c r="N32" s="9" t="s">
        <v>25</v>
      </c>
    </row>
    <row r="33" customFormat="false" ht="15" hidden="false" customHeight="false" outlineLevel="0" collapsed="false">
      <c r="A33" s="4" t="n">
        <v>29</v>
      </c>
      <c r="B33" s="4" t="s">
        <v>150</v>
      </c>
      <c r="C33" s="4" t="s">
        <v>151</v>
      </c>
      <c r="D33" s="5" t="s">
        <v>152</v>
      </c>
      <c r="E33" s="4"/>
      <c r="F33" s="4"/>
      <c r="G33" s="4" t="s">
        <v>153</v>
      </c>
      <c r="H33" s="4" t="s">
        <v>154</v>
      </c>
      <c r="I33" s="6" t="s">
        <v>22</v>
      </c>
      <c r="J33" s="4" t="s">
        <v>31</v>
      </c>
      <c r="K33" s="6" t="s">
        <v>12</v>
      </c>
      <c r="L33" s="4" t="s">
        <v>155</v>
      </c>
      <c r="M33" s="6" t="s">
        <v>24</v>
      </c>
      <c r="N33" s="6" t="s">
        <v>25</v>
      </c>
    </row>
    <row r="34" customFormat="false" ht="15" hidden="false" customHeight="false" outlineLevel="0" collapsed="false">
      <c r="A34" s="7" t="n">
        <v>30</v>
      </c>
      <c r="B34" s="7" t="s">
        <v>150</v>
      </c>
      <c r="C34" s="7" t="s">
        <v>156</v>
      </c>
      <c r="D34" s="8" t="s">
        <v>157</v>
      </c>
      <c r="E34" s="7" t="n">
        <v>2</v>
      </c>
      <c r="F34" s="7" t="s">
        <v>40</v>
      </c>
      <c r="G34" s="7" t="s">
        <v>158</v>
      </c>
      <c r="H34" s="7" t="s">
        <v>159</v>
      </c>
      <c r="I34" s="9" t="s">
        <v>22</v>
      </c>
      <c r="J34" s="9" t="s">
        <v>11</v>
      </c>
      <c r="K34" s="9" t="s">
        <v>12</v>
      </c>
      <c r="L34" s="7" t="s">
        <v>160</v>
      </c>
      <c r="M34" s="9" t="s">
        <v>24</v>
      </c>
      <c r="N34" s="9" t="s">
        <v>25</v>
      </c>
    </row>
    <row r="35" customFormat="false" ht="23.85" hidden="false" customHeight="false" outlineLevel="0" collapsed="false">
      <c r="A35" s="4" t="n">
        <v>31</v>
      </c>
      <c r="B35" s="4" t="s">
        <v>150</v>
      </c>
      <c r="C35" s="4" t="s">
        <v>156</v>
      </c>
      <c r="D35" s="5" t="s">
        <v>161</v>
      </c>
      <c r="E35" s="4" t="n">
        <v>4</v>
      </c>
      <c r="F35" s="4" t="s">
        <v>40</v>
      </c>
      <c r="G35" s="4" t="s">
        <v>162</v>
      </c>
      <c r="H35" s="4" t="s">
        <v>163</v>
      </c>
      <c r="I35" s="4" t="s">
        <v>31</v>
      </c>
      <c r="J35" s="4" t="s">
        <v>31</v>
      </c>
      <c r="K35" s="6" t="s">
        <v>12</v>
      </c>
      <c r="L35" s="4" t="s">
        <v>32</v>
      </c>
      <c r="M35" s="6" t="s">
        <v>24</v>
      </c>
      <c r="N35" s="6" t="s">
        <v>25</v>
      </c>
    </row>
    <row r="36" customFormat="false" ht="23.85" hidden="false" customHeight="false" outlineLevel="0" collapsed="false">
      <c r="A36" s="7" t="n">
        <v>32</v>
      </c>
      <c r="B36" s="7" t="s">
        <v>150</v>
      </c>
      <c r="C36" s="7" t="s">
        <v>164</v>
      </c>
      <c r="D36" s="8" t="s">
        <v>165</v>
      </c>
      <c r="E36" s="7" t="n">
        <v>3</v>
      </c>
      <c r="F36" s="7" t="s">
        <v>40</v>
      </c>
      <c r="G36" s="7" t="s">
        <v>166</v>
      </c>
      <c r="H36" s="7" t="s">
        <v>167</v>
      </c>
      <c r="I36" s="9" t="s">
        <v>22</v>
      </c>
      <c r="J36" s="9" t="s">
        <v>11</v>
      </c>
      <c r="K36" s="9" t="s">
        <v>12</v>
      </c>
      <c r="L36" s="7" t="s">
        <v>160</v>
      </c>
      <c r="M36" s="9" t="s">
        <v>24</v>
      </c>
      <c r="N36" s="9" t="s">
        <v>25</v>
      </c>
    </row>
    <row r="37" customFormat="false" ht="15" hidden="false" customHeight="false" outlineLevel="0" collapsed="false">
      <c r="A37" s="4" t="n">
        <v>33</v>
      </c>
      <c r="B37" s="4" t="s">
        <v>150</v>
      </c>
      <c r="C37" s="4" t="s">
        <v>168</v>
      </c>
      <c r="D37" s="5" t="s">
        <v>169</v>
      </c>
      <c r="E37" s="4" t="n">
        <v>4</v>
      </c>
      <c r="F37" s="4" t="s">
        <v>19</v>
      </c>
      <c r="G37" s="4" t="s">
        <v>170</v>
      </c>
      <c r="H37" s="4" t="s">
        <v>171</v>
      </c>
      <c r="I37" s="4" t="s">
        <v>31</v>
      </c>
      <c r="J37" s="4" t="s">
        <v>31</v>
      </c>
      <c r="K37" s="6" t="s">
        <v>12</v>
      </c>
      <c r="L37" s="4" t="s">
        <v>52</v>
      </c>
      <c r="M37" s="6" t="s">
        <v>24</v>
      </c>
      <c r="N37" s="6" t="s">
        <v>25</v>
      </c>
    </row>
    <row r="38" customFormat="false" ht="15" hidden="false" customHeight="false" outlineLevel="0" collapsed="false">
      <c r="A38" s="7" t="n">
        <v>34</v>
      </c>
      <c r="B38" s="7" t="s">
        <v>150</v>
      </c>
      <c r="C38" s="7" t="s">
        <v>150</v>
      </c>
      <c r="D38" s="8" t="s">
        <v>172</v>
      </c>
      <c r="E38" s="7" t="n">
        <v>3</v>
      </c>
      <c r="F38" s="7" t="s">
        <v>173</v>
      </c>
      <c r="G38" s="7" t="s">
        <v>174</v>
      </c>
      <c r="H38" s="7" t="s">
        <v>175</v>
      </c>
      <c r="I38" s="9" t="s">
        <v>22</v>
      </c>
      <c r="J38" s="7" t="s">
        <v>31</v>
      </c>
      <c r="K38" s="9" t="s">
        <v>12</v>
      </c>
      <c r="L38" s="7" t="s">
        <v>100</v>
      </c>
      <c r="M38" s="9" t="s">
        <v>24</v>
      </c>
      <c r="N38" s="9" t="s">
        <v>25</v>
      </c>
    </row>
    <row r="39" customFormat="false" ht="23.85" hidden="false" customHeight="false" outlineLevel="0" collapsed="false">
      <c r="A39" s="4" t="n">
        <v>35</v>
      </c>
      <c r="B39" s="4" t="s">
        <v>150</v>
      </c>
      <c r="C39" s="4" t="s">
        <v>176</v>
      </c>
      <c r="D39" s="5" t="s">
        <v>177</v>
      </c>
      <c r="E39" s="4" t="n">
        <v>2</v>
      </c>
      <c r="F39" s="4" t="s">
        <v>40</v>
      </c>
      <c r="G39" s="4" t="s">
        <v>178</v>
      </c>
      <c r="H39" s="4" t="s">
        <v>179</v>
      </c>
      <c r="I39" s="4" t="s">
        <v>31</v>
      </c>
      <c r="J39" s="6" t="s">
        <v>11</v>
      </c>
      <c r="K39" s="6" t="s">
        <v>12</v>
      </c>
      <c r="L39" s="4" t="s">
        <v>105</v>
      </c>
      <c r="M39" s="6" t="s">
        <v>24</v>
      </c>
      <c r="N39" s="6" t="s">
        <v>25</v>
      </c>
    </row>
    <row r="40" customFormat="false" ht="15" hidden="false" customHeight="false" outlineLevel="0" collapsed="false">
      <c r="A40" s="7" t="n">
        <v>36</v>
      </c>
      <c r="B40" s="7" t="s">
        <v>180</v>
      </c>
      <c r="C40" s="7" t="s">
        <v>181</v>
      </c>
      <c r="D40" s="8" t="s">
        <v>182</v>
      </c>
      <c r="E40" s="7" t="n">
        <v>2</v>
      </c>
      <c r="F40" s="7" t="s">
        <v>40</v>
      </c>
      <c r="G40" s="7" t="s">
        <v>183</v>
      </c>
      <c r="H40" s="7" t="s">
        <v>184</v>
      </c>
      <c r="I40" s="9" t="s">
        <v>22</v>
      </c>
      <c r="J40" s="9" t="s">
        <v>11</v>
      </c>
      <c r="K40" s="9" t="s">
        <v>12</v>
      </c>
      <c r="L40" s="7" t="s">
        <v>185</v>
      </c>
      <c r="M40" s="9" t="s">
        <v>24</v>
      </c>
      <c r="N40" s="9" t="s">
        <v>25</v>
      </c>
    </row>
    <row r="41" customFormat="false" ht="15" hidden="false" customHeight="false" outlineLevel="0" collapsed="false">
      <c r="A41" s="4" t="n">
        <v>37</v>
      </c>
      <c r="B41" s="4" t="s">
        <v>180</v>
      </c>
      <c r="C41" s="4" t="s">
        <v>186</v>
      </c>
      <c r="D41" s="5" t="s">
        <v>187</v>
      </c>
      <c r="E41" s="4" t="n">
        <v>2</v>
      </c>
      <c r="F41" s="4" t="s">
        <v>19</v>
      </c>
      <c r="G41" s="4" t="s">
        <v>188</v>
      </c>
      <c r="H41" s="4" t="s">
        <v>189</v>
      </c>
      <c r="I41" s="4" t="s">
        <v>31</v>
      </c>
      <c r="J41" s="4" t="s">
        <v>31</v>
      </c>
      <c r="K41" s="6" t="s">
        <v>12</v>
      </c>
      <c r="L41" s="4" t="s">
        <v>190</v>
      </c>
      <c r="M41" s="6" t="s">
        <v>24</v>
      </c>
      <c r="N41" s="6" t="s">
        <v>25</v>
      </c>
    </row>
    <row r="42" customFormat="false" ht="15" hidden="false" customHeight="false" outlineLevel="0" collapsed="false">
      <c r="A42" s="7" t="n">
        <v>38</v>
      </c>
      <c r="B42" s="7" t="s">
        <v>180</v>
      </c>
      <c r="C42" s="7" t="s">
        <v>191</v>
      </c>
      <c r="D42" s="8" t="s">
        <v>192</v>
      </c>
      <c r="E42" s="7" t="n">
        <v>3</v>
      </c>
      <c r="F42" s="7" t="s">
        <v>40</v>
      </c>
      <c r="G42" s="7" t="s">
        <v>193</v>
      </c>
      <c r="H42" s="7" t="s">
        <v>194</v>
      </c>
      <c r="I42" s="9" t="s">
        <v>22</v>
      </c>
      <c r="J42" s="7" t="s">
        <v>31</v>
      </c>
      <c r="K42" s="9" t="s">
        <v>12</v>
      </c>
      <c r="L42" s="7" t="s">
        <v>195</v>
      </c>
      <c r="M42" s="9" t="s">
        <v>24</v>
      </c>
      <c r="N42" s="9" t="s">
        <v>25</v>
      </c>
    </row>
    <row r="43" customFormat="false" ht="15" hidden="false" customHeight="false" outlineLevel="0" collapsed="false">
      <c r="A43" s="4" t="n">
        <v>39</v>
      </c>
      <c r="B43" s="4" t="s">
        <v>180</v>
      </c>
      <c r="C43" s="4" t="s">
        <v>191</v>
      </c>
      <c r="D43" s="5" t="s">
        <v>196</v>
      </c>
      <c r="E43" s="4" t="n">
        <v>2</v>
      </c>
      <c r="F43" s="4" t="s">
        <v>40</v>
      </c>
      <c r="G43" s="4" t="s">
        <v>197</v>
      </c>
      <c r="H43" s="4" t="s">
        <v>198</v>
      </c>
      <c r="I43" s="6" t="s">
        <v>22</v>
      </c>
      <c r="J43" s="4" t="s">
        <v>31</v>
      </c>
      <c r="K43" s="6" t="s">
        <v>12</v>
      </c>
      <c r="L43" s="4" t="s">
        <v>31</v>
      </c>
      <c r="M43" s="6" t="s">
        <v>24</v>
      </c>
      <c r="N43" s="6" t="s">
        <v>25</v>
      </c>
    </row>
    <row r="44" customFormat="false" ht="23.85" hidden="false" customHeight="false" outlineLevel="0" collapsed="false">
      <c r="A44" s="7" t="n">
        <v>40</v>
      </c>
      <c r="B44" s="7" t="s">
        <v>199</v>
      </c>
      <c r="C44" s="7" t="s">
        <v>199</v>
      </c>
      <c r="D44" s="8" t="s">
        <v>200</v>
      </c>
      <c r="E44" s="7"/>
      <c r="F44" s="7"/>
      <c r="G44" s="7" t="s">
        <v>201</v>
      </c>
      <c r="H44" s="7" t="s">
        <v>202</v>
      </c>
      <c r="I44" s="7" t="s">
        <v>31</v>
      </c>
      <c r="J44" s="7" t="s">
        <v>31</v>
      </c>
      <c r="K44" s="9" t="s">
        <v>12</v>
      </c>
      <c r="L44" s="7" t="s">
        <v>52</v>
      </c>
      <c r="M44" s="9" t="s">
        <v>24</v>
      </c>
      <c r="N44" s="9" t="s">
        <v>25</v>
      </c>
    </row>
    <row r="45" customFormat="false" ht="15" hidden="false" customHeight="false" outlineLevel="0" collapsed="false">
      <c r="A45" s="4" t="n">
        <v>41</v>
      </c>
      <c r="B45" s="4" t="s">
        <v>203</v>
      </c>
      <c r="C45" s="4" t="s">
        <v>204</v>
      </c>
      <c r="D45" s="5" t="s">
        <v>205</v>
      </c>
      <c r="E45" s="4" t="n">
        <v>2</v>
      </c>
      <c r="F45" s="4" t="s">
        <v>19</v>
      </c>
      <c r="G45" s="4" t="s">
        <v>206</v>
      </c>
      <c r="H45" s="4" t="s">
        <v>207</v>
      </c>
      <c r="I45" s="6" t="s">
        <v>22</v>
      </c>
      <c r="J45" s="6" t="s">
        <v>11</v>
      </c>
      <c r="K45" s="4" t="s">
        <v>31</v>
      </c>
      <c r="L45" s="4" t="s">
        <v>105</v>
      </c>
      <c r="M45" s="6" t="s">
        <v>24</v>
      </c>
      <c r="N45" s="6" t="s">
        <v>25</v>
      </c>
    </row>
    <row r="46" customFormat="false" ht="23.85" hidden="false" customHeight="false" outlineLevel="0" collapsed="false">
      <c r="A46" s="7" t="n">
        <v>42</v>
      </c>
      <c r="B46" s="7" t="s">
        <v>203</v>
      </c>
      <c r="C46" s="7" t="s">
        <v>208</v>
      </c>
      <c r="D46" s="8" t="s">
        <v>209</v>
      </c>
      <c r="E46" s="7" t="n">
        <v>2</v>
      </c>
      <c r="F46" s="7" t="s">
        <v>40</v>
      </c>
      <c r="G46" s="7" t="s">
        <v>210</v>
      </c>
      <c r="H46" s="7" t="s">
        <v>211</v>
      </c>
      <c r="I46" s="7" t="s">
        <v>31</v>
      </c>
      <c r="J46" s="9" t="s">
        <v>11</v>
      </c>
      <c r="K46" s="9" t="s">
        <v>12</v>
      </c>
      <c r="L46" s="7" t="s">
        <v>212</v>
      </c>
      <c r="M46" s="9" t="s">
        <v>24</v>
      </c>
      <c r="N46" s="9" t="s">
        <v>25</v>
      </c>
    </row>
    <row r="47" customFormat="false" ht="23.85" hidden="false" customHeight="false" outlineLevel="0" collapsed="false">
      <c r="A47" s="4" t="n">
        <v>43</v>
      </c>
      <c r="B47" s="4" t="s">
        <v>203</v>
      </c>
      <c r="C47" s="4" t="s">
        <v>208</v>
      </c>
      <c r="D47" s="5" t="s">
        <v>213</v>
      </c>
      <c r="E47" s="4" t="n">
        <v>2</v>
      </c>
      <c r="F47" s="4" t="s">
        <v>40</v>
      </c>
      <c r="G47" s="4" t="s">
        <v>214</v>
      </c>
      <c r="H47" s="4" t="s">
        <v>215</v>
      </c>
      <c r="I47" s="6" t="s">
        <v>22</v>
      </c>
      <c r="J47" s="6" t="s">
        <v>11</v>
      </c>
      <c r="K47" s="6" t="s">
        <v>12</v>
      </c>
      <c r="L47" s="4" t="s">
        <v>31</v>
      </c>
      <c r="M47" s="4" t="s">
        <v>31</v>
      </c>
      <c r="N47" s="6" t="s">
        <v>25</v>
      </c>
    </row>
    <row r="48" customFormat="false" ht="23.85" hidden="false" customHeight="false" outlineLevel="0" collapsed="false">
      <c r="A48" s="7" t="n">
        <v>44</v>
      </c>
      <c r="B48" s="7" t="s">
        <v>203</v>
      </c>
      <c r="C48" s="7" t="s">
        <v>216</v>
      </c>
      <c r="D48" s="8" t="s">
        <v>217</v>
      </c>
      <c r="E48" s="7" t="n">
        <v>1</v>
      </c>
      <c r="F48" s="7" t="s">
        <v>40</v>
      </c>
      <c r="G48" s="7" t="s">
        <v>218</v>
      </c>
      <c r="H48" s="7" t="s">
        <v>219</v>
      </c>
      <c r="I48" s="7" t="s">
        <v>31</v>
      </c>
      <c r="J48" s="7" t="s">
        <v>31</v>
      </c>
      <c r="K48" s="9" t="s">
        <v>12</v>
      </c>
      <c r="L48" s="7" t="s">
        <v>52</v>
      </c>
      <c r="M48" s="9" t="s">
        <v>24</v>
      </c>
      <c r="N48" s="9" t="s">
        <v>25</v>
      </c>
    </row>
    <row r="49" customFormat="false" ht="15" hidden="false" customHeight="false" outlineLevel="0" collapsed="false">
      <c r="A49" s="4" t="n">
        <v>45</v>
      </c>
      <c r="B49" s="4" t="s">
        <v>203</v>
      </c>
      <c r="C49" s="4" t="s">
        <v>220</v>
      </c>
      <c r="D49" s="5" t="s">
        <v>221</v>
      </c>
      <c r="E49" s="4" t="n">
        <v>2</v>
      </c>
      <c r="F49" s="4" t="s">
        <v>40</v>
      </c>
      <c r="G49" s="4" t="s">
        <v>222</v>
      </c>
      <c r="H49" s="4" t="s">
        <v>223</v>
      </c>
      <c r="I49" s="4" t="s">
        <v>31</v>
      </c>
      <c r="J49" s="4" t="s">
        <v>31</v>
      </c>
      <c r="K49" s="6" t="s">
        <v>12</v>
      </c>
      <c r="L49" s="4" t="s">
        <v>32</v>
      </c>
      <c r="M49" s="6" t="s">
        <v>24</v>
      </c>
      <c r="N49" s="6" t="s">
        <v>25</v>
      </c>
    </row>
    <row r="50" customFormat="false" ht="23.85" hidden="false" customHeight="false" outlineLevel="0" collapsed="false">
      <c r="A50" s="7" t="n">
        <v>46</v>
      </c>
      <c r="B50" s="7" t="s">
        <v>203</v>
      </c>
      <c r="C50" s="7" t="s">
        <v>224</v>
      </c>
      <c r="D50" s="8" t="s">
        <v>225</v>
      </c>
      <c r="E50" s="7" t="n">
        <v>2</v>
      </c>
      <c r="F50" s="7" t="s">
        <v>173</v>
      </c>
      <c r="G50" s="7" t="s">
        <v>226</v>
      </c>
      <c r="H50" s="7" t="s">
        <v>227</v>
      </c>
      <c r="I50" s="9" t="s">
        <v>22</v>
      </c>
      <c r="J50" s="7" t="s">
        <v>31</v>
      </c>
      <c r="K50" s="9" t="s">
        <v>12</v>
      </c>
      <c r="L50" s="7" t="s">
        <v>228</v>
      </c>
      <c r="M50" s="9" t="s">
        <v>24</v>
      </c>
      <c r="N50" s="9" t="s">
        <v>25</v>
      </c>
    </row>
    <row r="51" customFormat="false" ht="23.85" hidden="false" customHeight="false" outlineLevel="0" collapsed="false">
      <c r="A51" s="4" t="n">
        <v>47</v>
      </c>
      <c r="B51" s="4" t="s">
        <v>203</v>
      </c>
      <c r="C51" s="4" t="s">
        <v>229</v>
      </c>
      <c r="D51" s="5" t="s">
        <v>230</v>
      </c>
      <c r="E51" s="4" t="n">
        <v>2</v>
      </c>
      <c r="F51" s="4" t="s">
        <v>19</v>
      </c>
      <c r="G51" s="4" t="s">
        <v>231</v>
      </c>
      <c r="H51" s="4" t="s">
        <v>232</v>
      </c>
      <c r="I51" s="6" t="s">
        <v>22</v>
      </c>
      <c r="J51" s="4" t="s">
        <v>31</v>
      </c>
      <c r="K51" s="6" t="s">
        <v>12</v>
      </c>
      <c r="L51" s="4" t="s">
        <v>233</v>
      </c>
      <c r="M51" s="6" t="s">
        <v>24</v>
      </c>
      <c r="N51" s="6" t="s">
        <v>25</v>
      </c>
    </row>
    <row r="52" customFormat="false" ht="15" hidden="false" customHeight="false" outlineLevel="0" collapsed="false">
      <c r="A52" s="7" t="n">
        <v>48</v>
      </c>
      <c r="B52" s="7" t="s">
        <v>234</v>
      </c>
      <c r="C52" s="7" t="s">
        <v>235</v>
      </c>
      <c r="D52" s="8" t="s">
        <v>236</v>
      </c>
      <c r="E52" s="7" t="n">
        <v>2</v>
      </c>
      <c r="F52" s="7" t="s">
        <v>19</v>
      </c>
      <c r="G52" s="7" t="s">
        <v>237</v>
      </c>
      <c r="H52" s="7" t="s">
        <v>238</v>
      </c>
      <c r="I52" s="9" t="s">
        <v>22</v>
      </c>
      <c r="J52" s="9" t="s">
        <v>11</v>
      </c>
      <c r="K52" s="9" t="s">
        <v>12</v>
      </c>
      <c r="L52" s="7" t="s">
        <v>160</v>
      </c>
      <c r="M52" s="9" t="s">
        <v>24</v>
      </c>
      <c r="N52" s="9" t="s">
        <v>25</v>
      </c>
    </row>
    <row r="53" customFormat="false" ht="15" hidden="false" customHeight="false" outlineLevel="0" collapsed="false">
      <c r="A53" s="4" t="n">
        <v>49</v>
      </c>
      <c r="B53" s="4" t="s">
        <v>234</v>
      </c>
      <c r="C53" s="4" t="s">
        <v>235</v>
      </c>
      <c r="D53" s="5" t="s">
        <v>239</v>
      </c>
      <c r="E53" s="4" t="n">
        <v>2</v>
      </c>
      <c r="F53" s="4" t="s">
        <v>40</v>
      </c>
      <c r="G53" s="4" t="s">
        <v>240</v>
      </c>
      <c r="H53" s="4" t="s">
        <v>241</v>
      </c>
      <c r="I53" s="6" t="s">
        <v>22</v>
      </c>
      <c r="J53" s="4" t="s">
        <v>31</v>
      </c>
      <c r="K53" s="4" t="s">
        <v>31</v>
      </c>
      <c r="L53" s="4" t="s">
        <v>242</v>
      </c>
      <c r="M53" s="4" t="s">
        <v>31</v>
      </c>
      <c r="N53" s="6" t="s">
        <v>25</v>
      </c>
    </row>
    <row r="54" customFormat="false" ht="15" hidden="false" customHeight="false" outlineLevel="0" collapsed="false">
      <c r="A54" s="7" t="n">
        <v>50</v>
      </c>
      <c r="B54" s="7" t="s">
        <v>234</v>
      </c>
      <c r="C54" s="7" t="s">
        <v>243</v>
      </c>
      <c r="D54" s="8" t="s">
        <v>244</v>
      </c>
      <c r="E54" s="7" t="n">
        <v>2</v>
      </c>
      <c r="F54" s="7" t="s">
        <v>40</v>
      </c>
      <c r="G54" s="7" t="s">
        <v>245</v>
      </c>
      <c r="H54" s="7" t="s">
        <v>246</v>
      </c>
      <c r="I54" s="9" t="s">
        <v>22</v>
      </c>
      <c r="J54" s="9" t="s">
        <v>11</v>
      </c>
      <c r="K54" s="9" t="s">
        <v>12</v>
      </c>
      <c r="L54" s="7" t="s">
        <v>247</v>
      </c>
      <c r="M54" s="9" t="s">
        <v>24</v>
      </c>
      <c r="N54" s="9" t="s">
        <v>25</v>
      </c>
    </row>
    <row r="55" customFormat="false" ht="15" hidden="false" customHeight="false" outlineLevel="0" collapsed="false">
      <c r="A55" s="4" t="n">
        <v>51</v>
      </c>
      <c r="B55" s="4" t="s">
        <v>234</v>
      </c>
      <c r="C55" s="4" t="s">
        <v>248</v>
      </c>
      <c r="D55" s="5" t="s">
        <v>249</v>
      </c>
      <c r="E55" s="4" t="n">
        <v>2</v>
      </c>
      <c r="F55" s="4" t="s">
        <v>40</v>
      </c>
      <c r="G55" s="4" t="s">
        <v>250</v>
      </c>
      <c r="H55" s="4" t="s">
        <v>251</v>
      </c>
      <c r="I55" s="4" t="s">
        <v>31</v>
      </c>
      <c r="J55" s="4" t="s">
        <v>31</v>
      </c>
      <c r="K55" s="6" t="s">
        <v>12</v>
      </c>
      <c r="L55" s="4" t="s">
        <v>66</v>
      </c>
      <c r="M55" s="6" t="s">
        <v>24</v>
      </c>
      <c r="N55" s="6" t="s">
        <v>25</v>
      </c>
    </row>
    <row r="56" customFormat="false" ht="15" hidden="false" customHeight="false" outlineLevel="0" collapsed="false">
      <c r="A56" s="7" t="n">
        <v>52</v>
      </c>
      <c r="B56" s="7" t="s">
        <v>252</v>
      </c>
      <c r="C56" s="7" t="s">
        <v>252</v>
      </c>
      <c r="D56" s="8" t="s">
        <v>253</v>
      </c>
      <c r="E56" s="7" t="n">
        <v>3</v>
      </c>
      <c r="F56" s="7" t="s">
        <v>40</v>
      </c>
      <c r="G56" s="7" t="s">
        <v>254</v>
      </c>
      <c r="H56" s="7" t="s">
        <v>255</v>
      </c>
      <c r="I56" s="7" t="s">
        <v>31</v>
      </c>
      <c r="J56" s="9" t="s">
        <v>11</v>
      </c>
      <c r="K56" s="9" t="s">
        <v>12</v>
      </c>
      <c r="L56" s="7" t="s">
        <v>31</v>
      </c>
      <c r="M56" s="9" t="s">
        <v>24</v>
      </c>
      <c r="N56" s="9" t="s">
        <v>25</v>
      </c>
    </row>
    <row r="57" customFormat="false" ht="15" hidden="false" customHeight="false" outlineLevel="0" collapsed="false">
      <c r="A57" s="4" t="n">
        <v>53</v>
      </c>
      <c r="B57" s="4" t="s">
        <v>252</v>
      </c>
      <c r="C57" s="4" t="s">
        <v>256</v>
      </c>
      <c r="D57" s="5" t="s">
        <v>257</v>
      </c>
      <c r="E57" s="4" t="n">
        <v>2</v>
      </c>
      <c r="F57" s="4" t="s">
        <v>19</v>
      </c>
      <c r="G57" s="4" t="s">
        <v>258</v>
      </c>
      <c r="H57" s="4" t="s">
        <v>31</v>
      </c>
      <c r="I57" s="4" t="s">
        <v>31</v>
      </c>
      <c r="J57" s="4" t="s">
        <v>31</v>
      </c>
      <c r="K57" s="6" t="s">
        <v>12</v>
      </c>
      <c r="L57" s="4" t="s">
        <v>259</v>
      </c>
      <c r="M57" s="6" t="s">
        <v>24</v>
      </c>
      <c r="N57" s="6" t="s">
        <v>25</v>
      </c>
    </row>
  </sheetData>
  <autoFilter ref="A4:N57"/>
  <hyperlinks>
    <hyperlink ref="I5" r:id="rId1" display="Website"/>
    <hyperlink ref="J5" r:id="rId2" display="Facebook"/>
    <hyperlink ref="K5" r:id="rId3" display="Instagram"/>
    <hyperlink ref="M5" r:id="rId4" display="View logo"/>
    <hyperlink ref="N5" r:id="rId5" display="Open"/>
    <hyperlink ref="J6" r:id="rId6" display="Facebook"/>
    <hyperlink ref="M6" r:id="rId7" display="View logo"/>
    <hyperlink ref="N6" r:id="rId8" display="Open"/>
    <hyperlink ref="K7" r:id="rId9" display="Instagram"/>
    <hyperlink ref="M7" r:id="rId10" display="View logo"/>
    <hyperlink ref="N7" r:id="rId11" display="Open"/>
    <hyperlink ref="J8" r:id="rId12" display="Facebook"/>
    <hyperlink ref="K8" r:id="rId13" display="Instagram"/>
    <hyperlink ref="M8" r:id="rId14" display="View logo"/>
    <hyperlink ref="N8" r:id="rId15" display="Open"/>
    <hyperlink ref="I9" r:id="rId16" display="Website"/>
    <hyperlink ref="N9" r:id="rId17" display="Open"/>
    <hyperlink ref="J10" r:id="rId18" display="Facebook"/>
    <hyperlink ref="K10" r:id="rId19" display="Instagram"/>
    <hyperlink ref="N10" r:id="rId20" display="Open"/>
    <hyperlink ref="K11" r:id="rId21" display="Instagram"/>
    <hyperlink ref="M11" r:id="rId22" display="View logo"/>
    <hyperlink ref="N11" r:id="rId23" display="Open"/>
    <hyperlink ref="I12" r:id="rId24" display="Website"/>
    <hyperlink ref="K12" r:id="rId25" display="Instagram"/>
    <hyperlink ref="M12" r:id="rId26" display="View logo"/>
    <hyperlink ref="N12" r:id="rId27" display="Open"/>
    <hyperlink ref="J13" r:id="rId28" display="Facebook"/>
    <hyperlink ref="K13" r:id="rId29" display="Instagram"/>
    <hyperlink ref="M13" r:id="rId30" display="View logo"/>
    <hyperlink ref="N13" r:id="rId31" display="Open"/>
    <hyperlink ref="I14" r:id="rId32" location="booking" display="Website"/>
    <hyperlink ref="J14" r:id="rId33" display="Facebook"/>
    <hyperlink ref="K14" r:id="rId34" display="Instagram"/>
    <hyperlink ref="M14" r:id="rId35" display="View logo"/>
    <hyperlink ref="N14" r:id="rId36" display="Open"/>
    <hyperlink ref="K15" r:id="rId37" display="Instagram"/>
    <hyperlink ref="M15" r:id="rId38" display="View logo"/>
    <hyperlink ref="N15" r:id="rId39" display="Open"/>
    <hyperlink ref="K16" r:id="rId40" display="Instagram"/>
    <hyperlink ref="M16" r:id="rId41" display="View logo"/>
    <hyperlink ref="N16" r:id="rId42" display="Open"/>
    <hyperlink ref="I17" r:id="rId43" display="Website"/>
    <hyperlink ref="K17" r:id="rId44" display="Instagram"/>
    <hyperlink ref="M17" r:id="rId45" display="View logo"/>
    <hyperlink ref="N17" r:id="rId46" display="Open"/>
    <hyperlink ref="I18" r:id="rId47" display="Website"/>
    <hyperlink ref="K18" r:id="rId48" display="Instagram"/>
    <hyperlink ref="M18" r:id="rId49" display="View logo"/>
    <hyperlink ref="N18" r:id="rId50" display="Open"/>
    <hyperlink ref="J19" r:id="rId51" display="Facebook"/>
    <hyperlink ref="K19" r:id="rId52" display="Instagram"/>
    <hyperlink ref="M19" r:id="rId53" display="View logo"/>
    <hyperlink ref="N19" r:id="rId54" display="Open"/>
    <hyperlink ref="K20" r:id="rId55" display="Instagram"/>
    <hyperlink ref="M20" r:id="rId56" display="View logo"/>
    <hyperlink ref="N20" r:id="rId57" display="Open"/>
    <hyperlink ref="I21" r:id="rId58" display="Website"/>
    <hyperlink ref="K21" r:id="rId59" display="Instagram"/>
    <hyperlink ref="M21" r:id="rId60" display="View logo"/>
    <hyperlink ref="N21" r:id="rId61" display="Open"/>
    <hyperlink ref="I22" r:id="rId62" display="Website"/>
    <hyperlink ref="K22" r:id="rId63" display="Instagram"/>
    <hyperlink ref="M22" r:id="rId64" display="View logo"/>
    <hyperlink ref="N22" r:id="rId65" display="Open"/>
    <hyperlink ref="I23" r:id="rId66" display="Website"/>
    <hyperlink ref="M23" r:id="rId67" display="View logo"/>
    <hyperlink ref="N23" r:id="rId68" display="Open"/>
    <hyperlink ref="K24" r:id="rId69" display="Instagram"/>
    <hyperlink ref="M24" r:id="rId70" display="View logo"/>
    <hyperlink ref="N24" r:id="rId71" display="Open"/>
    <hyperlink ref="I25" r:id="rId72" display="Website"/>
    <hyperlink ref="J25" r:id="rId73" display="Facebook"/>
    <hyperlink ref="K25" r:id="rId74" display="Instagram"/>
    <hyperlink ref="M25" r:id="rId75" display="View logo"/>
    <hyperlink ref="N25" r:id="rId76" display="Open"/>
    <hyperlink ref="I26" r:id="rId77" display="Website"/>
    <hyperlink ref="J26" r:id="rId78" display="Facebook"/>
    <hyperlink ref="K26" r:id="rId79" display="Instagram"/>
    <hyperlink ref="M26" r:id="rId80" display="View logo"/>
    <hyperlink ref="N26" r:id="rId81" display="Open"/>
    <hyperlink ref="I27" r:id="rId82" display="Website"/>
    <hyperlink ref="J27" r:id="rId83" display="Facebook"/>
    <hyperlink ref="K27" r:id="rId84" display="Instagram"/>
    <hyperlink ref="M27" r:id="rId85" display="View logo"/>
    <hyperlink ref="N27" r:id="rId86" display="Open"/>
    <hyperlink ref="I28" r:id="rId87" display="Website"/>
    <hyperlink ref="J28" r:id="rId88" display="Facebook"/>
    <hyperlink ref="K28" r:id="rId89" display="Instagram"/>
    <hyperlink ref="M28" r:id="rId90" display="View logo"/>
    <hyperlink ref="N28" r:id="rId91" display="Open"/>
    <hyperlink ref="I29" r:id="rId92" display="Website"/>
    <hyperlink ref="J29" r:id="rId93" display="Facebook"/>
    <hyperlink ref="K29" r:id="rId94" display="Instagram"/>
    <hyperlink ref="M29" r:id="rId95" display="View logo"/>
    <hyperlink ref="N29" r:id="rId96" display="Open"/>
    <hyperlink ref="I30" r:id="rId97" display="Website"/>
    <hyperlink ref="J30" r:id="rId98" display="Facebook"/>
    <hyperlink ref="K30" r:id="rId99" display="Instagram"/>
    <hyperlink ref="M30" r:id="rId100" display="View logo"/>
    <hyperlink ref="N30" r:id="rId101" display="Open"/>
    <hyperlink ref="I31" r:id="rId102" display="Website"/>
    <hyperlink ref="J31" r:id="rId103" display="Facebook"/>
    <hyperlink ref="K31" r:id="rId104" display="Instagram"/>
    <hyperlink ref="M31" r:id="rId105" display="View logo"/>
    <hyperlink ref="N31" r:id="rId106" display="Open"/>
    <hyperlink ref="J32" r:id="rId107" display="Facebook"/>
    <hyperlink ref="K32" r:id="rId108" display="Instagram"/>
    <hyperlink ref="M32" r:id="rId109" display="View logo"/>
    <hyperlink ref="N32" r:id="rId110" display="Open"/>
    <hyperlink ref="I33" r:id="rId111" display="Website"/>
    <hyperlink ref="K33" r:id="rId112" display="Instagram"/>
    <hyperlink ref="M33" r:id="rId113" display="View logo"/>
    <hyperlink ref="N33" r:id="rId114" display="Open"/>
    <hyperlink ref="I34" r:id="rId115" display="Website"/>
    <hyperlink ref="J34" r:id="rId116" display="Facebook"/>
    <hyperlink ref="K34" r:id="rId117" display="Instagram"/>
    <hyperlink ref="M34" r:id="rId118" display="View logo"/>
    <hyperlink ref="N34" r:id="rId119" display="Open"/>
    <hyperlink ref="K35" r:id="rId120" display="Instagram"/>
    <hyperlink ref="M35" r:id="rId121" display="View logo"/>
    <hyperlink ref="N35" r:id="rId122" display="Open"/>
    <hyperlink ref="I36" r:id="rId123" display="Website"/>
    <hyperlink ref="J36" r:id="rId124" display="Facebook"/>
    <hyperlink ref="K36" r:id="rId125" display="Instagram"/>
    <hyperlink ref="M36" r:id="rId126" display="View logo"/>
    <hyperlink ref="N36" r:id="rId127" display="Open"/>
    <hyperlink ref="K37" r:id="rId128" display="Instagram"/>
    <hyperlink ref="M37" r:id="rId129" display="View logo"/>
    <hyperlink ref="N37" r:id="rId130" display="Open"/>
    <hyperlink ref="I38" r:id="rId131" display="Website"/>
    <hyperlink ref="K38" r:id="rId132" display="Instagram"/>
    <hyperlink ref="M38" r:id="rId133" display="View logo"/>
    <hyperlink ref="N38" r:id="rId134" display="Open"/>
    <hyperlink ref="J39" r:id="rId135" display="Facebook"/>
    <hyperlink ref="K39" r:id="rId136" display="Instagram"/>
    <hyperlink ref="M39" r:id="rId137" display="View logo"/>
    <hyperlink ref="N39" r:id="rId138" display="Open"/>
    <hyperlink ref="I40" r:id="rId139" display="Website"/>
    <hyperlink ref="J40" r:id="rId140" display="Facebook"/>
    <hyperlink ref="K40" r:id="rId141" display="Instagram"/>
    <hyperlink ref="M40" r:id="rId142" display="View logo"/>
    <hyperlink ref="N40" r:id="rId143" display="Open"/>
    <hyperlink ref="K41" r:id="rId144" display="Instagram"/>
    <hyperlink ref="M41" r:id="rId145" display="View logo"/>
    <hyperlink ref="N41" r:id="rId146" display="Open"/>
    <hyperlink ref="I42" r:id="rId147" display="Website"/>
    <hyperlink ref="K42" r:id="rId148" display="Instagram"/>
    <hyperlink ref="M42" r:id="rId149" display="View logo"/>
    <hyperlink ref="N42" r:id="rId150" display="Open"/>
    <hyperlink ref="I43" r:id="rId151" display="Website"/>
    <hyperlink ref="K43" r:id="rId152" display="Instagram"/>
    <hyperlink ref="M43" r:id="rId153" display="View logo"/>
    <hyperlink ref="N43" r:id="rId154" display="Open"/>
    <hyperlink ref="K44" r:id="rId155" display="Instagram"/>
    <hyperlink ref="M44" r:id="rId156" display="View logo"/>
    <hyperlink ref="N44" r:id="rId157" display="Open"/>
    <hyperlink ref="I45" r:id="rId158" display="Website"/>
    <hyperlink ref="J45" r:id="rId159" display="Facebook"/>
    <hyperlink ref="M45" r:id="rId160" display="View logo"/>
    <hyperlink ref="N45" r:id="rId161" display="Open"/>
    <hyperlink ref="J46" r:id="rId162" display="Facebook"/>
    <hyperlink ref="K46" r:id="rId163" display="Instagram"/>
    <hyperlink ref="M46" r:id="rId164" display="View logo"/>
    <hyperlink ref="N46" r:id="rId165" display="Open"/>
    <hyperlink ref="I47" r:id="rId166" display="Website"/>
    <hyperlink ref="J47" r:id="rId167" display="Facebook"/>
    <hyperlink ref="K47" r:id="rId168" display="Instagram"/>
    <hyperlink ref="N47" r:id="rId169" display="Open"/>
    <hyperlink ref="K48" r:id="rId170" display="Instagram"/>
    <hyperlink ref="M48" r:id="rId171" display="View logo"/>
    <hyperlink ref="N48" r:id="rId172" display="Open"/>
    <hyperlink ref="K49" r:id="rId173" display="Instagram"/>
    <hyperlink ref="M49" r:id="rId174" display="View logo"/>
    <hyperlink ref="N49" r:id="rId175" display="Open"/>
    <hyperlink ref="I50" r:id="rId176" display="Website"/>
    <hyperlink ref="K50" r:id="rId177" display="Instagram"/>
    <hyperlink ref="M50" r:id="rId178" display="View logo"/>
    <hyperlink ref="N50" r:id="rId179" display="Open"/>
    <hyperlink ref="I51" r:id="rId180" display="Website"/>
    <hyperlink ref="K51" r:id="rId181" display="Instagram"/>
    <hyperlink ref="M51" r:id="rId182" display="View logo"/>
    <hyperlink ref="N51" r:id="rId183" display="Open"/>
    <hyperlink ref="I52" r:id="rId184" display="Website"/>
    <hyperlink ref="J52" r:id="rId185" display="Facebook"/>
    <hyperlink ref="K52" r:id="rId186" display="Instagram"/>
    <hyperlink ref="M52" r:id="rId187" display="View logo"/>
    <hyperlink ref="N52" r:id="rId188" display="Open"/>
    <hyperlink ref="I53" r:id="rId189" display="Website"/>
    <hyperlink ref="N53" r:id="rId190" display="Open"/>
    <hyperlink ref="I54" r:id="rId191" display="Website"/>
    <hyperlink ref="J54" r:id="rId192" display="Facebook"/>
    <hyperlink ref="K54" r:id="rId193" display="Instagram"/>
    <hyperlink ref="M54" r:id="rId194" display="View logo"/>
    <hyperlink ref="N54" r:id="rId195" display="Open"/>
    <hyperlink ref="K55" r:id="rId196" display="Instagram"/>
    <hyperlink ref="M55" r:id="rId197" display="View logo"/>
    <hyperlink ref="N55" r:id="rId198" display="Open"/>
    <hyperlink ref="J56" r:id="rId199" display="Facebook"/>
    <hyperlink ref="K56" r:id="rId200" display="Instagram"/>
    <hyperlink ref="M56" r:id="rId201" display="View logo"/>
    <hyperlink ref="N56" r:id="rId202" display="Open"/>
    <hyperlink ref="K57" r:id="rId203" display="Instagram"/>
    <hyperlink ref="M57" r:id="rId204" display="View logo"/>
    <hyperlink ref="N57" r:id="rId205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0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260</v>
      </c>
    </row>
    <row r="3" customFormat="false" ht="15" hidden="false" customHeight="false" outlineLevel="0" collapsed="false">
      <c r="A3" s="10" t="s">
        <v>3</v>
      </c>
      <c r="B3" s="10" t="s">
        <v>261</v>
      </c>
      <c r="C3" s="10" t="s">
        <v>262</v>
      </c>
    </row>
    <row r="4" customFormat="false" ht="15" hidden="false" customHeight="false" outlineLevel="0" collapsed="false">
      <c r="A4" s="11" t="s">
        <v>16</v>
      </c>
      <c r="B4" s="11" t="n">
        <f aca="false">COUNTIF(Clubs!$B$5:$B$57,A4)</f>
        <v>21</v>
      </c>
      <c r="C4" s="11" t="n">
        <f aca="false">SUMIF(Clubs!$B$5:$B$57,A4,Clubs!$E$5:$E$57)</f>
        <v>73</v>
      </c>
    </row>
    <row r="5" customFormat="false" ht="15" hidden="false" customHeight="false" outlineLevel="0" collapsed="false">
      <c r="A5" s="11" t="s">
        <v>120</v>
      </c>
      <c r="B5" s="11" t="n">
        <f aca="false">COUNTIF(Clubs!$B$5:$B$57,A5)</f>
        <v>7</v>
      </c>
      <c r="C5" s="11" t="n">
        <f aca="false">SUMIF(Clubs!$B$5:$B$57,A5,Clubs!$E$5:$E$57)</f>
        <v>23</v>
      </c>
    </row>
    <row r="6" customFormat="false" ht="15" hidden="false" customHeight="false" outlineLevel="0" collapsed="false">
      <c r="A6" s="11" t="s">
        <v>150</v>
      </c>
      <c r="B6" s="11" t="n">
        <f aca="false">COUNTIF(Clubs!$B$5:$B$57,A6)</f>
        <v>7</v>
      </c>
      <c r="C6" s="11" t="n">
        <f aca="false">SUMIF(Clubs!$B$5:$B$57,A6,Clubs!$E$5:$E$57)</f>
        <v>18</v>
      </c>
    </row>
    <row r="7" customFormat="false" ht="15" hidden="false" customHeight="false" outlineLevel="0" collapsed="false">
      <c r="A7" s="11" t="s">
        <v>180</v>
      </c>
      <c r="B7" s="11" t="n">
        <f aca="false">COUNTIF(Clubs!$B$5:$B$57,A7)</f>
        <v>4</v>
      </c>
      <c r="C7" s="11" t="n">
        <f aca="false">SUMIF(Clubs!$B$5:$B$57,A7,Clubs!$E$5:$E$57)</f>
        <v>9</v>
      </c>
    </row>
    <row r="8" customFormat="false" ht="15" hidden="false" customHeight="false" outlineLevel="0" collapsed="false">
      <c r="A8" s="11" t="s">
        <v>199</v>
      </c>
      <c r="B8" s="11" t="n">
        <f aca="false">COUNTIF(Clubs!$B$5:$B$57,A8)</f>
        <v>1</v>
      </c>
      <c r="C8" s="11" t="n">
        <f aca="false">SUMIF(Clubs!$B$5:$B$57,A8,Clubs!$E$5:$E$57)</f>
        <v>0</v>
      </c>
    </row>
    <row r="9" customFormat="false" ht="15" hidden="false" customHeight="false" outlineLevel="0" collapsed="false">
      <c r="A9" s="11" t="s">
        <v>203</v>
      </c>
      <c r="B9" s="11" t="n">
        <f aca="false">COUNTIF(Clubs!$B$5:$B$57,A9)</f>
        <v>7</v>
      </c>
      <c r="C9" s="11" t="n">
        <f aca="false">SUMIF(Clubs!$B$5:$B$57,A9,Clubs!$E$5:$E$57)</f>
        <v>13</v>
      </c>
    </row>
    <row r="10" customFormat="false" ht="15" hidden="false" customHeight="false" outlineLevel="0" collapsed="false">
      <c r="A10" s="11" t="s">
        <v>234</v>
      </c>
      <c r="B10" s="11" t="n">
        <f aca="false">COUNTIF(Clubs!$B$5:$B$57,A10)</f>
        <v>4</v>
      </c>
      <c r="C10" s="11" t="n">
        <f aca="false">SUMIF(Clubs!$B$5:$B$57,A10,Clubs!$E$5:$E$57)</f>
        <v>8</v>
      </c>
    </row>
    <row r="11" customFormat="false" ht="15" hidden="false" customHeight="false" outlineLevel="0" collapsed="false">
      <c r="A11" s="11" t="s">
        <v>252</v>
      </c>
      <c r="B11" s="11" t="n">
        <f aca="false">COUNTIF(Clubs!$B$5:$B$57,A11)</f>
        <v>2</v>
      </c>
      <c r="C11" s="11" t="n">
        <f aca="false">SUMIF(Clubs!$B$5:$B$57,A11,Clubs!$E$5:$E$57)</f>
        <v>5</v>
      </c>
    </row>
    <row r="12" customFormat="false" ht="15" hidden="false" customHeight="false" outlineLevel="0" collapsed="false">
      <c r="A12" s="12" t="s">
        <v>263</v>
      </c>
      <c r="B12" s="12" t="n">
        <f aca="false">SUM(B4:B11)</f>
        <v>53</v>
      </c>
      <c r="C12" s="12" t="n">
        <f aca="false">SUM(C4:C11)</f>
        <v>149</v>
      </c>
    </row>
    <row r="14" customFormat="false" ht="15" hidden="false" customHeight="false" outlineLevel="0" collapsed="false">
      <c r="A14" s="2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44"/>
    <col collapsed="false" customWidth="true" hidden="false" outlineLevel="0" max="5" min="5" style="0" width="38"/>
    <col collapsed="false" customWidth="true" hidden="false" outlineLevel="0" max="6" min="6" style="0" width="9"/>
  </cols>
  <sheetData>
    <row r="1" customFormat="false" ht="15" hidden="false" customHeight="false" outlineLevel="0" collapsed="false">
      <c r="A1" s="13" t="s">
        <v>265</v>
      </c>
    </row>
    <row r="3" customFormat="false" ht="15" hidden="false" customHeight="false" outlineLevel="0" collapsed="false">
      <c r="A3" s="10" t="s">
        <v>3</v>
      </c>
      <c r="B3" s="10" t="s">
        <v>4</v>
      </c>
      <c r="C3" s="10" t="s">
        <v>266</v>
      </c>
      <c r="D3" s="10" t="s">
        <v>8</v>
      </c>
      <c r="E3" s="10" t="s">
        <v>267</v>
      </c>
      <c r="F3" s="10" t="s">
        <v>268</v>
      </c>
    </row>
    <row r="4" customFormat="false" ht="15" hidden="false" customHeight="false" outlineLevel="0" collapsed="false">
      <c r="A4" s="14" t="s">
        <v>16</v>
      </c>
      <c r="B4" s="14" t="s">
        <v>269</v>
      </c>
      <c r="C4" s="14" t="s">
        <v>270</v>
      </c>
      <c r="D4" s="14" t="s">
        <v>271</v>
      </c>
      <c r="E4" s="14" t="s">
        <v>272</v>
      </c>
      <c r="F4" s="15" t="s">
        <v>268</v>
      </c>
    </row>
    <row r="5" customFormat="false" ht="23.85" hidden="false" customHeight="false" outlineLevel="0" collapsed="false">
      <c r="A5" s="14" t="s">
        <v>16</v>
      </c>
      <c r="B5" s="14" t="s">
        <v>273</v>
      </c>
      <c r="C5" s="14" t="s">
        <v>274</v>
      </c>
      <c r="D5" s="14" t="s">
        <v>275</v>
      </c>
      <c r="E5" s="14" t="s">
        <v>276</v>
      </c>
      <c r="F5" s="15" t="s">
        <v>268</v>
      </c>
    </row>
    <row r="6" customFormat="false" ht="23.85" hidden="false" customHeight="false" outlineLevel="0" collapsed="false">
      <c r="A6" s="14" t="s">
        <v>150</v>
      </c>
      <c r="B6" s="14" t="s">
        <v>150</v>
      </c>
      <c r="C6" s="14" t="s">
        <v>277</v>
      </c>
      <c r="D6" s="14" t="s">
        <v>278</v>
      </c>
      <c r="E6" s="14" t="s">
        <v>279</v>
      </c>
      <c r="F6" s="15" t="s">
        <v>268</v>
      </c>
    </row>
    <row r="7" customFormat="false" ht="15" hidden="false" customHeight="false" outlineLevel="0" collapsed="false">
      <c r="A7" s="14" t="s">
        <v>31</v>
      </c>
      <c r="B7" s="14" t="s">
        <v>31</v>
      </c>
      <c r="C7" s="14" t="s">
        <v>280</v>
      </c>
      <c r="D7" s="14" t="s">
        <v>281</v>
      </c>
      <c r="E7" s="14" t="s">
        <v>282</v>
      </c>
      <c r="F7" s="15" t="s">
        <v>268</v>
      </c>
    </row>
    <row r="8" customFormat="false" ht="23.85" hidden="false" customHeight="false" outlineLevel="0" collapsed="false">
      <c r="A8" s="14" t="s">
        <v>234</v>
      </c>
      <c r="B8" s="14" t="s">
        <v>283</v>
      </c>
      <c r="C8" s="14" t="s">
        <v>284</v>
      </c>
      <c r="D8" s="14" t="s">
        <v>285</v>
      </c>
      <c r="E8" s="14" t="s">
        <v>286</v>
      </c>
      <c r="F8" s="15" t="s">
        <v>268</v>
      </c>
    </row>
  </sheetData>
  <hyperlinks>
    <hyperlink ref="F4" r:id="rId1" display="Source"/>
    <hyperlink ref="F5" r:id="rId2" display="Source"/>
    <hyperlink ref="F6" r:id="rId3" display="Source"/>
    <hyperlink ref="F7" r:id="rId4" display="Source"/>
    <hyperlink ref="F8" r:id="rId5" display="Sour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2026-10-23T07:39:17Z</dcterms:created>
  <dc:creator>openpyxl</dc:creator>
  <dc:description/>
  <dc:language>en-US</dc:language>
  <cp:lastModifiedBy/>
  <dcterms:modified xsi:type="dcterms:W3CDTF">2026-10-23T07:39:17Z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