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urnois" sheetId="1" state="visible" r:id="rId3"/>
    <sheet name="Résumé" sheetId="2" state="visible" r:id="rId4"/>
  </sheets>
  <definedNames>
    <definedName function="false" hidden="true" localSheetId="0" name="_xlnm._FilterDatabase" vbProcedure="false">Tournois!$A$1:$K$41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<sst xmlns="http://schemas.openxmlformats.org/spreadsheetml/2006/main" count="314" uniqueCount="136">
  <si>
    <t xml:space="preserve">Tournoi</t>
  </si>
  <si>
    <t xml:space="preserve">Début</t>
  </si>
  <si>
    <t xml:space="preserve">Fin</t>
  </si>
  <si>
    <t xml:space="preserve">Durée (j)</t>
  </si>
  <si>
    <t xml:space="preserve">Lieu</t>
  </si>
  <si>
    <t xml:space="preserve">Pays</t>
  </si>
  <si>
    <t xml:space="preserve">Portée</t>
  </si>
  <si>
    <t xml:space="preserve">Niveau</t>
  </si>
  <si>
    <t xml:space="preserve">Lien</t>
  </si>
  <si>
    <t xml:space="preserve">Affiche</t>
  </si>
  <si>
    <t xml:space="preserve">Source</t>
  </si>
  <si>
    <t xml:space="preserve">33ème Étape FTT – Padel House</t>
  </si>
  <si>
    <t xml:space="preserve">Padel House Tunisia</t>
  </si>
  <si>
    <t xml:space="preserve">Tunisie</t>
  </si>
  <si>
    <t xml:space="preserve">TN</t>
  </si>
  <si>
    <t xml:space="preserve">Étape FTT</t>
  </si>
  <si>
    <t xml:space="preserve">Fiche</t>
  </si>
  <si>
    <t xml:space="preserve">fttlp.com</t>
  </si>
  <si>
    <t xml:space="preserve">FIP Gold Melilla Ciudad del Deporte</t>
  </si>
  <si>
    <t xml:space="preserve">Melilla</t>
  </si>
  <si>
    <t xml:space="preserve">Espagne</t>
  </si>
  <si>
    <t xml:space="preserve">INT</t>
  </si>
  <si>
    <t xml:space="preserve">FIP Gold</t>
  </si>
  <si>
    <t xml:space="preserve">padelfip.com</t>
  </si>
  <si>
    <t xml:space="preserve">FIP Bronze EWH City Pádel Taunton</t>
  </si>
  <si>
    <t xml:space="preserve">Taunton</t>
  </si>
  <si>
    <t xml:space="preserve">Royaume-Uni</t>
  </si>
  <si>
    <t xml:space="preserve">FIP Bronze</t>
  </si>
  <si>
    <t xml:space="preserve">FIP Bronze QNB Cup Antalya</t>
  </si>
  <si>
    <t xml:space="preserve">Antalya</t>
  </si>
  <si>
    <t xml:space="preserve">Turquie</t>
  </si>
  <si>
    <t xml:space="preserve">FIP Bronze High Velocity Samui</t>
  </si>
  <si>
    <t xml:space="preserve">Koh Samui</t>
  </si>
  <si>
    <t xml:space="preserve">Thaïlande</t>
  </si>
  <si>
    <t xml:space="preserve">FIP Bronze Viña del Mar</t>
  </si>
  <si>
    <t xml:space="preserve">Viña del Mar</t>
  </si>
  <si>
    <t xml:space="preserve">Chili</t>
  </si>
  <si>
    <t xml:space="preserve">Hexagon World Series II</t>
  </si>
  <si>
    <t xml:space="preserve">Lieu à confirmer</t>
  </si>
  <si>
    <t xml:space="preserve">Hexagon (équipes)</t>
  </si>
  <si>
    <t xml:space="preserve">P25 H / F / Mixte – Treffel Padel Club</t>
  </si>
  <si>
    <t xml:space="preserve">Treffel Padel Club</t>
  </si>
  <si>
    <t xml:space="preserve">FTT P25</t>
  </si>
  <si>
    <t xml:space="preserve">Kuwait Major Premier Padel</t>
  </si>
  <si>
    <t xml:space="preserve">Koweït City</t>
  </si>
  <si>
    <t xml:space="preserve">Koweït</t>
  </si>
  <si>
    <t xml:space="preserve">Premier Padel Major</t>
  </si>
  <si>
    <t xml:space="preserve">padelspeak.com</t>
  </si>
  <si>
    <t xml:space="preserve">FIP Bronze Cyprus III</t>
  </si>
  <si>
    <t xml:space="preserve">Ayia Napa</t>
  </si>
  <si>
    <t xml:space="preserve">Chypre</t>
  </si>
  <si>
    <t xml:space="preserve">FIP Gold Mediolanum Padel Cup Torino</t>
  </si>
  <si>
    <t xml:space="preserve">Turin</t>
  </si>
  <si>
    <t xml:space="preserve">Italie</t>
  </si>
  <si>
    <t xml:space="preserve">FIP Silver DAMAC Dubai II</t>
  </si>
  <si>
    <t xml:space="preserve">Dubaï</t>
  </si>
  <si>
    <t xml:space="preserve">Émirats arabes unis</t>
  </si>
  <si>
    <t xml:space="preserve">FIP Silver</t>
  </si>
  <si>
    <t xml:space="preserve">FIP Bronze JC Ferrero Academy</t>
  </si>
  <si>
    <t xml:space="preserve">Villena</t>
  </si>
  <si>
    <t xml:space="preserve">FIP Bronze Tashkent</t>
  </si>
  <si>
    <t xml:space="preserve">Tachkent</t>
  </si>
  <si>
    <t xml:space="preserve">Ouzbékistan</t>
  </si>
  <si>
    <t xml:space="preserve">P25 H / F / Mixte – Slim Padel</t>
  </si>
  <si>
    <t xml:space="preserve">Slim Padel</t>
  </si>
  <si>
    <t xml:space="preserve">FIP Bronze High Velocity Phangan</t>
  </si>
  <si>
    <t xml:space="preserve">Koh Phangan</t>
  </si>
  <si>
    <t xml:space="preserve">Coupe du monde FIP (équipes nationales)</t>
  </si>
  <si>
    <t xml:space="preserve">Khalifa Int. Tennis &amp; Squash Complex, Doha</t>
  </si>
  <si>
    <t xml:space="preserve">Qatar</t>
  </si>
  <si>
    <t xml:space="preserve">Coupe du monde FIP</t>
  </si>
  <si>
    <t xml:space="preserve">FIP Bronze Cyprus IV</t>
  </si>
  <si>
    <t xml:space="preserve">FIP Bronze ESC Padel</t>
  </si>
  <si>
    <t xml:space="preserve">Espoo</t>
  </si>
  <si>
    <t xml:space="preserve">Finlande</t>
  </si>
  <si>
    <t xml:space="preserve">FIP Silver Women's Padel Crossroads Maldives</t>
  </si>
  <si>
    <t xml:space="preserve">Malé</t>
  </si>
  <si>
    <t xml:space="preserve">Maldives</t>
  </si>
  <si>
    <t xml:space="preserve">FIP Junior Asia Padel Cup</t>
  </si>
  <si>
    <t xml:space="preserve">Jakarta</t>
  </si>
  <si>
    <t xml:space="preserve">Indonésie</t>
  </si>
  <si>
    <t xml:space="preserve">Jeunes / Promises</t>
  </si>
  <si>
    <t xml:space="preserve">Dubai P1 Premier Padel</t>
  </si>
  <si>
    <t xml:space="preserve">Premier Padel P1</t>
  </si>
  <si>
    <t xml:space="preserve">FIP Bronze Doha II</t>
  </si>
  <si>
    <t xml:space="preserve">Doha</t>
  </si>
  <si>
    <t xml:space="preserve">FIP Bronze High Velocity Kochi</t>
  </si>
  <si>
    <t xml:space="preserve">Kochi</t>
  </si>
  <si>
    <t xml:space="preserve">Inde</t>
  </si>
  <si>
    <t xml:space="preserve">FIP Bronze Levante</t>
  </si>
  <si>
    <t xml:space="preserve">Nola</t>
  </si>
  <si>
    <t xml:space="preserve">FIP Silver Mediolanum Como</t>
  </si>
  <si>
    <t xml:space="preserve">Côme</t>
  </si>
  <si>
    <t xml:space="preserve">FIP Junior America Padel Cup</t>
  </si>
  <si>
    <t xml:space="preserve">Cancún</t>
  </si>
  <si>
    <t xml:space="preserve">Mexique</t>
  </si>
  <si>
    <t xml:space="preserve">FIP Beyond Melilla</t>
  </si>
  <si>
    <t xml:space="preserve">FIP Beyond</t>
  </si>
  <si>
    <t xml:space="preserve">FIP Platinum Aguascalientes</t>
  </si>
  <si>
    <t xml:space="preserve">Aguascalientes</t>
  </si>
  <si>
    <t xml:space="preserve">FIP Platinum</t>
  </si>
  <si>
    <t xml:space="preserve">FIP Bronze Chile IX</t>
  </si>
  <si>
    <t xml:space="preserve">San Antonio</t>
  </si>
  <si>
    <t xml:space="preserve">FIP Bronze Karachi II</t>
  </si>
  <si>
    <t xml:space="preserve">Karachi</t>
  </si>
  <si>
    <t xml:space="preserve">Pakistan</t>
  </si>
  <si>
    <t xml:space="preserve">FIP Bronze Rochefort</t>
  </si>
  <si>
    <t xml:space="preserve">Rochefort</t>
  </si>
  <si>
    <t xml:space="preserve">Belgique</t>
  </si>
  <si>
    <t xml:space="preserve">FIP Bronze Sweden II</t>
  </si>
  <si>
    <t xml:space="preserve">Skurup</t>
  </si>
  <si>
    <t xml:space="preserve">Suède</t>
  </si>
  <si>
    <t xml:space="preserve">FIP Silver GO Park Hong Kong</t>
  </si>
  <si>
    <t xml:space="preserve">Hong Kong</t>
  </si>
  <si>
    <t xml:space="preserve">FIP Silver MCV Padelness</t>
  </si>
  <si>
    <t xml:space="preserve">Naples</t>
  </si>
  <si>
    <t xml:space="preserve">Mexico Major Premier Padel</t>
  </si>
  <si>
    <t xml:space="preserve">Acapulco</t>
  </si>
  <si>
    <t xml:space="preserve">CUPRA FIP Finals</t>
  </si>
  <si>
    <t xml:space="preserve">El Prat de Llobregat</t>
  </si>
  <si>
    <t xml:space="preserve">Finals</t>
  </si>
  <si>
    <t xml:space="preserve">Premier Padel Finals</t>
  </si>
  <si>
    <t xml:space="preserve">Barcelone</t>
  </si>
  <si>
    <t xml:space="preserve">Hexagon World Series III</t>
  </si>
  <si>
    <t xml:space="preserve">FIP Promises Continental Finals Africa</t>
  </si>
  <si>
    <t xml:space="preserve">Le Cap</t>
  </si>
  <si>
    <t xml:space="preserve">Afrique du Sud</t>
  </si>
  <si>
    <t xml:space="preserve">Calendrier padel — Tunisie &amp; international</t>
  </si>
  <si>
    <t xml:space="preserve">Données de la table padel_events au 24/10/2026. Sources : fttlp.com, padelfip.com, padelspeak.com.</t>
  </si>
  <si>
    <t xml:space="preserve">Indicateur</t>
  </si>
  <si>
    <t xml:space="preserve">Valeur</t>
  </si>
  <si>
    <t xml:space="preserve">Total tournois</t>
  </si>
  <si>
    <t xml:space="preserve">En Tunisie (TN)</t>
  </si>
  <si>
    <t xml:space="preserve">International (INT)</t>
  </si>
  <si>
    <t xml:space="preserve">Par niveau</t>
  </si>
  <si>
    <t xml:space="preserve">Nombre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</si>
</sst>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1F6F8B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3231C"/>
        <bgColor rgb="FF333333"/>
      </patternFill>
    </fill>
    <fill>
      <patternFill patternType="solid">
        <fgColor rgb="FFFDEC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E0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3231C"/>
          <bgColor rgb="FF000000"/>
        </patternFill>
      </fill>
    </dxf>
    <dxf>
      <fill>
        <patternFill patternType="solid">
          <fgColor rgb="FFFDEC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6F8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B"/>
      <rgbColor rgb="FFC0C0C0"/>
      <rgbColor rgb="FF808080"/>
      <rgbColor rgb="FF9999FF"/>
      <rgbColor rgb="FF993366"/>
      <rgbColor rgb="FFFDECEE"/>
      <rgbColor rgb="FFCCFFFF"/>
      <rgbColor rgb="FF660066"/>
      <rgbColor rgb="FFFF8080"/>
      <rgbColor rgb="FF0066CC"/>
      <rgbColor rgb="FFD5E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3231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ttlp.com/tournoi/33eme-etape-ftt-padel-house" TargetMode="External"/><Relationship Id="rId2" Type="http://schemas.openxmlformats.org/officeDocument/2006/relationships/hyperlink" Target="https://fttlp.com/uploads/tournois/1791841657_73d3d57c83617bb8077c_medium.jpg" TargetMode="External"/><Relationship Id="rId3" Type="http://schemas.openxmlformats.org/officeDocument/2006/relationships/hyperlink" Target="https://www.padelfip.com/events/fip-gold-melilla-ciudad-del-deporte-2026/" TargetMode="External"/><Relationship Id="rId4" Type="http://schemas.openxmlformats.org/officeDocument/2006/relationships/hyperlink" Target="https://www.padelfip.com/events/fip-bronze-ewh-city-padel-taunton/" TargetMode="External"/><Relationship Id="rId5" Type="http://schemas.openxmlformats.org/officeDocument/2006/relationships/hyperlink" Target="https://www.padelfip.com/events/fip-bronze-qnb-cup-antalya-2026/" TargetMode="External"/><Relationship Id="rId6" Type="http://schemas.openxmlformats.org/officeDocument/2006/relationships/hyperlink" Target="https://www.padelfip.com/events/fip-bronze-high-velocity-samui-2026/" TargetMode="External"/><Relationship Id="rId7" Type="http://schemas.openxmlformats.org/officeDocument/2006/relationships/hyperlink" Target="https://www.padelfip.com/events/fip-bronze-vina-del-mar-2026/" TargetMode="External"/><Relationship Id="rId8" Type="http://schemas.openxmlformats.org/officeDocument/2006/relationships/hyperlink" Target="https://www.padelfip.com/calendar-hexagon-world-series/" TargetMode="External"/><Relationship Id="rId9" Type="http://schemas.openxmlformats.org/officeDocument/2006/relationships/hyperlink" Target="https://fttlp.com/tournoi/p25h-p25f-p25mixte-treffel-padel-club" TargetMode="External"/><Relationship Id="rId10" Type="http://schemas.openxmlformats.org/officeDocument/2006/relationships/hyperlink" Target="https://fttlp.com/uploads/tournois/1792518158_e8b8cb5881fbf806b038_medium.jpg" TargetMode="External"/><Relationship Id="rId11" Type="http://schemas.openxmlformats.org/officeDocument/2006/relationships/hyperlink" Target="https://padelspeak.com/en/kuwait-major-2026-padel-premier/" TargetMode="External"/><Relationship Id="rId12" Type="http://schemas.openxmlformats.org/officeDocument/2006/relationships/hyperlink" Target="https://www.padelfip.com/events/fip-bronze-cyprus-iii-2026/" TargetMode="External"/><Relationship Id="rId13" Type="http://schemas.openxmlformats.org/officeDocument/2006/relationships/hyperlink" Target="https://www.padelfip.com/events/fip-gold-mediolanum-torino-2026/" TargetMode="External"/><Relationship Id="rId14" Type="http://schemas.openxmlformats.org/officeDocument/2006/relationships/hyperlink" Target="https://www.padelfip.com/events/fip-silver-damac-dubai-ii-2026/" TargetMode="External"/><Relationship Id="rId15" Type="http://schemas.openxmlformats.org/officeDocument/2006/relationships/hyperlink" Target="https://www.padelfip.com/events/fip-bronze-jc-ferrero-academy-2026/" TargetMode="External"/><Relationship Id="rId16" Type="http://schemas.openxmlformats.org/officeDocument/2006/relationships/hyperlink" Target="https://www.padelfip.com/events/fip-bronze-tashkent-2026/" TargetMode="External"/><Relationship Id="rId17" Type="http://schemas.openxmlformats.org/officeDocument/2006/relationships/hyperlink" Target="https://fttlp.com/tournoi/p25h-p25f-p25mixte-slim-padel" TargetMode="External"/><Relationship Id="rId18" Type="http://schemas.openxmlformats.org/officeDocument/2006/relationships/hyperlink" Target="https://fttlp.com/uploads/tournois/1792696128_4c643030d91b639eaead_medium.png" TargetMode="External"/><Relationship Id="rId19" Type="http://schemas.openxmlformats.org/officeDocument/2006/relationships/hyperlink" Target="https://www.padelfip.com/events/fip-bronze-ko-panghan/" TargetMode="External"/><Relationship Id="rId20" Type="http://schemas.openxmlformats.org/officeDocument/2006/relationships/hyperlink" Target="https://www.padelfip.com/2026/07/fip-world-cup-qatar-confirmed-as-host-of-the-2026-and-2028-editions/" TargetMode="External"/><Relationship Id="rId21" Type="http://schemas.openxmlformats.org/officeDocument/2006/relationships/hyperlink" Target="https://www.padelfip.com/events/fip-bronze-cyprus-iv-2026/" TargetMode="External"/><Relationship Id="rId22" Type="http://schemas.openxmlformats.org/officeDocument/2006/relationships/hyperlink" Target="https://www.padelfip.com/events/fip-bronze-esc-padel-2026/" TargetMode="External"/><Relationship Id="rId23" Type="http://schemas.openxmlformats.org/officeDocument/2006/relationships/hyperlink" Target="https://www.padelfip.com/events/fip-silver-womens-padel-crossroads-maldives-2026/" TargetMode="External"/><Relationship Id="rId24" Type="http://schemas.openxmlformats.org/officeDocument/2006/relationships/hyperlink" Target="https://www.padelfip.com/?p=355068" TargetMode="External"/><Relationship Id="rId25" Type="http://schemas.openxmlformats.org/officeDocument/2006/relationships/hyperlink" Target="https://www.padelfip.com/calendar-premier-padel/?events-year=2026" TargetMode="External"/><Relationship Id="rId26" Type="http://schemas.openxmlformats.org/officeDocument/2006/relationships/hyperlink" Target="https://www.padelfip.com/events/fip-bronze-doha-2026-2/" TargetMode="External"/><Relationship Id="rId27" Type="http://schemas.openxmlformats.org/officeDocument/2006/relationships/hyperlink" Target="https://www.padelfip.com/events/fip-bronze-high-velocity-kochi-2026/" TargetMode="External"/><Relationship Id="rId28" Type="http://schemas.openxmlformats.org/officeDocument/2006/relationships/hyperlink" Target="https://www.padelfip.com/events/fip-bronze-levante-2026/" TargetMode="External"/><Relationship Id="rId29" Type="http://schemas.openxmlformats.org/officeDocument/2006/relationships/hyperlink" Target="https://www.padelfip.com/events/fip-silver-mediolanum-como-2026/" TargetMode="External"/><Relationship Id="rId30" Type="http://schemas.openxmlformats.org/officeDocument/2006/relationships/hyperlink" Target="https://www.padelfip.com/?p=355068" TargetMode="External"/><Relationship Id="rId31" Type="http://schemas.openxmlformats.org/officeDocument/2006/relationships/hyperlink" Target="https://www.padelfip.com/calendar-fip-beyond/" TargetMode="External"/><Relationship Id="rId32" Type="http://schemas.openxmlformats.org/officeDocument/2006/relationships/hyperlink" Target="https://www.padelfip.com/events/fip-platinum-aguascalientes-2026/" TargetMode="External"/><Relationship Id="rId33" Type="http://schemas.openxmlformats.org/officeDocument/2006/relationships/hyperlink" Target="https://www.padelfip.com/events/fip-bronze-chile-ix-2026-2/" TargetMode="External"/><Relationship Id="rId34" Type="http://schemas.openxmlformats.org/officeDocument/2006/relationships/hyperlink" Target="https://www.padelfip.com/events/fip-bronze-karachi-ii-2026/" TargetMode="External"/><Relationship Id="rId35" Type="http://schemas.openxmlformats.org/officeDocument/2006/relationships/hyperlink" Target="https://www.padelfip.com/events/fip-bronze-rochefort-2026/" TargetMode="External"/><Relationship Id="rId36" Type="http://schemas.openxmlformats.org/officeDocument/2006/relationships/hyperlink" Target="https://www.padelfip.com/events/fip-bronze-sweden-ii-2026/" TargetMode="External"/><Relationship Id="rId37" Type="http://schemas.openxmlformats.org/officeDocument/2006/relationships/hyperlink" Target="https://www.padelfip.com/events/fip-silver-hong-kong-2026/" TargetMode="External"/><Relationship Id="rId38" Type="http://schemas.openxmlformats.org/officeDocument/2006/relationships/hyperlink" Target="https://www.padelfip.com/events/fip-silver-mcv-padelness-2026/" TargetMode="External"/><Relationship Id="rId39" Type="http://schemas.openxmlformats.org/officeDocument/2006/relationships/hyperlink" Target="https://padelspeak.com/en/premier-padel-calendar/" TargetMode="External"/><Relationship Id="rId40" Type="http://schemas.openxmlformats.org/officeDocument/2006/relationships/hyperlink" Target="https://www.padelfip.com/calendar" TargetMode="External"/><Relationship Id="rId41" Type="http://schemas.openxmlformats.org/officeDocument/2006/relationships/hyperlink" Target="https://padelspeak.com/en/premier-padel-calendar/" TargetMode="External"/><Relationship Id="rId42" Type="http://schemas.openxmlformats.org/officeDocument/2006/relationships/hyperlink" Target="https://www.padelfip.com/calendar-hexagon-world-series/" TargetMode="External"/><Relationship Id="rId43" Type="http://schemas.openxmlformats.org/officeDocument/2006/relationships/hyperlink" Target="https://www.padelfip.com/events/fip-promises-continental-finals/" TargetMode="External"/><Relationship Id="rId4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8" min="8" style="0" width="20"/>
    <col collapsed="false" customWidth="true" hidden="false" outlineLevel="0" max="10" min="9" style="0" width="9"/>
    <col collapsed="false" customWidth="true" hidden="false" outlineLevel="0" max="11" min="11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n">
        <v>46314</v>
      </c>
      <c r="C2" s="3" t="n">
        <v>46320</v>
      </c>
      <c r="D2" s="2" t="n">
        <f aca="false">C2-B2+1</f>
        <v>7</v>
      </c>
      <c r="E2" s="2" t="s">
        <v>12</v>
      </c>
      <c r="F2" s="2" t="s">
        <v>13</v>
      </c>
      <c r="G2" s="2" t="s">
        <v>14</v>
      </c>
      <c r="H2" s="2" t="s">
        <v>15</v>
      </c>
      <c r="I2" s="4" t="s">
        <v>16</v>
      </c>
      <c r="J2" s="4" t="s">
        <v>9</v>
      </c>
      <c r="K2" s="2" t="s">
        <v>17</v>
      </c>
    </row>
    <row r="3" customFormat="false" ht="15" hidden="false" customHeight="false" outlineLevel="0" collapsed="false">
      <c r="A3" s="5" t="s">
        <v>18</v>
      </c>
      <c r="B3" s="6" t="n">
        <v>46315</v>
      </c>
      <c r="C3" s="6" t="n">
        <v>46319</v>
      </c>
      <c r="D3" s="5" t="n">
        <f aca="false">C3-B3+1</f>
        <v>5</v>
      </c>
      <c r="E3" s="5" t="s">
        <v>19</v>
      </c>
      <c r="F3" s="5" t="s">
        <v>20</v>
      </c>
      <c r="G3" s="5" t="s">
        <v>21</v>
      </c>
      <c r="H3" s="5" t="s">
        <v>22</v>
      </c>
      <c r="I3" s="7" t="s">
        <v>16</v>
      </c>
      <c r="J3" s="5"/>
      <c r="K3" s="5" t="s">
        <v>23</v>
      </c>
    </row>
    <row r="4" customFormat="false" ht="15" hidden="false" customHeight="false" outlineLevel="0" collapsed="false">
      <c r="A4" s="5" t="s">
        <v>24</v>
      </c>
      <c r="B4" s="6" t="n">
        <v>46316</v>
      </c>
      <c r="C4" s="6" t="n">
        <v>46320</v>
      </c>
      <c r="D4" s="5" t="n">
        <f aca="false">C4-B4+1</f>
        <v>5</v>
      </c>
      <c r="E4" s="5" t="s">
        <v>25</v>
      </c>
      <c r="F4" s="5" t="s">
        <v>26</v>
      </c>
      <c r="G4" s="5" t="s">
        <v>21</v>
      </c>
      <c r="H4" s="5" t="s">
        <v>27</v>
      </c>
      <c r="I4" s="7" t="s">
        <v>16</v>
      </c>
      <c r="J4" s="5"/>
      <c r="K4" s="5" t="s">
        <v>23</v>
      </c>
    </row>
    <row r="5" customFormat="false" ht="15" hidden="false" customHeight="false" outlineLevel="0" collapsed="false">
      <c r="A5" s="5" t="s">
        <v>28</v>
      </c>
      <c r="B5" s="6" t="n">
        <v>46316</v>
      </c>
      <c r="C5" s="6" t="n">
        <v>46320</v>
      </c>
      <c r="D5" s="5" t="n">
        <f aca="false">C5-B5+1</f>
        <v>5</v>
      </c>
      <c r="E5" s="5" t="s">
        <v>29</v>
      </c>
      <c r="F5" s="5" t="s">
        <v>30</v>
      </c>
      <c r="G5" s="5" t="s">
        <v>21</v>
      </c>
      <c r="H5" s="5" t="s">
        <v>27</v>
      </c>
      <c r="I5" s="7" t="s">
        <v>16</v>
      </c>
      <c r="J5" s="5"/>
      <c r="K5" s="5" t="s">
        <v>23</v>
      </c>
    </row>
    <row r="6" customFormat="false" ht="15" hidden="false" customHeight="false" outlineLevel="0" collapsed="false">
      <c r="A6" s="5" t="s">
        <v>31</v>
      </c>
      <c r="B6" s="6" t="n">
        <v>46317</v>
      </c>
      <c r="C6" s="6" t="n">
        <v>46320</v>
      </c>
      <c r="D6" s="5" t="n">
        <f aca="false">C6-B6+1</f>
        <v>4</v>
      </c>
      <c r="E6" s="5" t="s">
        <v>32</v>
      </c>
      <c r="F6" s="5" t="s">
        <v>33</v>
      </c>
      <c r="G6" s="5" t="s">
        <v>21</v>
      </c>
      <c r="H6" s="5" t="s">
        <v>27</v>
      </c>
      <c r="I6" s="7" t="s">
        <v>16</v>
      </c>
      <c r="J6" s="5"/>
      <c r="K6" s="5" t="s">
        <v>23</v>
      </c>
    </row>
    <row r="7" customFormat="false" ht="15" hidden="false" customHeight="false" outlineLevel="0" collapsed="false">
      <c r="A7" s="5" t="s">
        <v>34</v>
      </c>
      <c r="B7" s="6" t="n">
        <v>46317</v>
      </c>
      <c r="C7" s="6" t="n">
        <v>46320</v>
      </c>
      <c r="D7" s="5" t="n">
        <f aca="false">C7-B7+1</f>
        <v>4</v>
      </c>
      <c r="E7" s="5" t="s">
        <v>35</v>
      </c>
      <c r="F7" s="5" t="s">
        <v>36</v>
      </c>
      <c r="G7" s="5" t="s">
        <v>21</v>
      </c>
      <c r="H7" s="5" t="s">
        <v>27</v>
      </c>
      <c r="I7" s="7" t="s">
        <v>16</v>
      </c>
      <c r="J7" s="5"/>
      <c r="K7" s="5" t="s">
        <v>23</v>
      </c>
    </row>
    <row r="8" customFormat="false" ht="15" hidden="false" customHeight="false" outlineLevel="0" collapsed="false">
      <c r="A8" s="5" t="s">
        <v>37</v>
      </c>
      <c r="B8" s="6" t="n">
        <v>46317</v>
      </c>
      <c r="C8" s="6" t="n">
        <v>46320</v>
      </c>
      <c r="D8" s="5" t="n">
        <f aca="false">C8-B8+1</f>
        <v>4</v>
      </c>
      <c r="E8" s="5" t="s">
        <v>38</v>
      </c>
      <c r="F8" s="5"/>
      <c r="G8" s="5" t="s">
        <v>21</v>
      </c>
      <c r="H8" s="5" t="s">
        <v>39</v>
      </c>
      <c r="I8" s="7" t="s">
        <v>16</v>
      </c>
      <c r="J8" s="5"/>
      <c r="K8" s="5" t="s">
        <v>23</v>
      </c>
    </row>
    <row r="9" customFormat="false" ht="15" hidden="false" customHeight="false" outlineLevel="0" collapsed="false">
      <c r="A9" s="2" t="s">
        <v>40</v>
      </c>
      <c r="B9" s="3" t="n">
        <v>46318</v>
      </c>
      <c r="C9" s="3" t="n">
        <v>46320</v>
      </c>
      <c r="D9" s="2" t="n">
        <f aca="false">C9-B9+1</f>
        <v>3</v>
      </c>
      <c r="E9" s="2" t="s">
        <v>41</v>
      </c>
      <c r="F9" s="2" t="s">
        <v>13</v>
      </c>
      <c r="G9" s="2" t="s">
        <v>14</v>
      </c>
      <c r="H9" s="2" t="s">
        <v>42</v>
      </c>
      <c r="I9" s="4" t="s">
        <v>16</v>
      </c>
      <c r="J9" s="4" t="s">
        <v>9</v>
      </c>
      <c r="K9" s="2" t="s">
        <v>17</v>
      </c>
    </row>
    <row r="10" customFormat="false" ht="15" hidden="false" customHeight="false" outlineLevel="0" collapsed="false">
      <c r="A10" s="5" t="s">
        <v>43</v>
      </c>
      <c r="B10" s="6" t="n">
        <v>46318</v>
      </c>
      <c r="C10" s="6" t="n">
        <v>46326</v>
      </c>
      <c r="D10" s="5" t="n">
        <f aca="false">C10-B10+1</f>
        <v>9</v>
      </c>
      <c r="E10" s="5" t="s">
        <v>44</v>
      </c>
      <c r="F10" s="5" t="s">
        <v>45</v>
      </c>
      <c r="G10" s="5" t="s">
        <v>21</v>
      </c>
      <c r="H10" s="5" t="s">
        <v>46</v>
      </c>
      <c r="I10" s="7" t="s">
        <v>16</v>
      </c>
      <c r="J10" s="5"/>
      <c r="K10" s="5" t="s">
        <v>47</v>
      </c>
    </row>
    <row r="11" customFormat="false" ht="15" hidden="false" customHeight="false" outlineLevel="0" collapsed="false">
      <c r="A11" s="5" t="s">
        <v>48</v>
      </c>
      <c r="B11" s="6" t="n">
        <v>46321</v>
      </c>
      <c r="C11" s="6" t="n">
        <v>46327</v>
      </c>
      <c r="D11" s="5" t="n">
        <f aca="false">C11-B11+1</f>
        <v>7</v>
      </c>
      <c r="E11" s="5" t="s">
        <v>49</v>
      </c>
      <c r="F11" s="5" t="s">
        <v>50</v>
      </c>
      <c r="G11" s="5" t="s">
        <v>21</v>
      </c>
      <c r="H11" s="5" t="s">
        <v>27</v>
      </c>
      <c r="I11" s="7" t="s">
        <v>16</v>
      </c>
      <c r="J11" s="5"/>
      <c r="K11" s="5" t="s">
        <v>23</v>
      </c>
    </row>
    <row r="12" customFormat="false" ht="15" hidden="false" customHeight="false" outlineLevel="0" collapsed="false">
      <c r="A12" s="5" t="s">
        <v>51</v>
      </c>
      <c r="B12" s="6" t="n">
        <v>46322</v>
      </c>
      <c r="C12" s="6" t="n">
        <v>46327</v>
      </c>
      <c r="D12" s="5" t="n">
        <f aca="false">C12-B12+1</f>
        <v>6</v>
      </c>
      <c r="E12" s="5" t="s">
        <v>52</v>
      </c>
      <c r="F12" s="5" t="s">
        <v>53</v>
      </c>
      <c r="G12" s="5" t="s">
        <v>21</v>
      </c>
      <c r="H12" s="5" t="s">
        <v>22</v>
      </c>
      <c r="I12" s="7" t="s">
        <v>16</v>
      </c>
      <c r="J12" s="5"/>
      <c r="K12" s="5" t="s">
        <v>23</v>
      </c>
    </row>
    <row r="13" customFormat="false" ht="15" hidden="false" customHeight="false" outlineLevel="0" collapsed="false">
      <c r="A13" s="5" t="s">
        <v>54</v>
      </c>
      <c r="B13" s="6" t="n">
        <v>46322</v>
      </c>
      <c r="C13" s="6" t="n">
        <v>46327</v>
      </c>
      <c r="D13" s="5" t="n">
        <f aca="false">C13-B13+1</f>
        <v>6</v>
      </c>
      <c r="E13" s="5" t="s">
        <v>55</v>
      </c>
      <c r="F13" s="5" t="s">
        <v>56</v>
      </c>
      <c r="G13" s="5" t="s">
        <v>21</v>
      </c>
      <c r="H13" s="5" t="s">
        <v>57</v>
      </c>
      <c r="I13" s="7" t="s">
        <v>16</v>
      </c>
      <c r="J13" s="5"/>
      <c r="K13" s="5" t="s">
        <v>23</v>
      </c>
    </row>
    <row r="14" customFormat="false" ht="15" hidden="false" customHeight="false" outlineLevel="0" collapsed="false">
      <c r="A14" s="5" t="s">
        <v>58</v>
      </c>
      <c r="B14" s="6" t="n">
        <v>46323</v>
      </c>
      <c r="C14" s="6" t="n">
        <v>46327</v>
      </c>
      <c r="D14" s="5" t="n">
        <f aca="false">C14-B14+1</f>
        <v>5</v>
      </c>
      <c r="E14" s="5" t="s">
        <v>59</v>
      </c>
      <c r="F14" s="5" t="s">
        <v>20</v>
      </c>
      <c r="G14" s="5" t="s">
        <v>21</v>
      </c>
      <c r="H14" s="5" t="s">
        <v>27</v>
      </c>
      <c r="I14" s="7" t="s">
        <v>16</v>
      </c>
      <c r="J14" s="5"/>
      <c r="K14" s="5" t="s">
        <v>23</v>
      </c>
    </row>
    <row r="15" customFormat="false" ht="15" hidden="false" customHeight="false" outlineLevel="0" collapsed="false">
      <c r="A15" s="5" t="s">
        <v>60</v>
      </c>
      <c r="B15" s="6" t="n">
        <v>46324</v>
      </c>
      <c r="C15" s="6" t="n">
        <v>46327</v>
      </c>
      <c r="D15" s="5" t="n">
        <f aca="false">C15-B15+1</f>
        <v>4</v>
      </c>
      <c r="E15" s="5" t="s">
        <v>61</v>
      </c>
      <c r="F15" s="5" t="s">
        <v>62</v>
      </c>
      <c r="G15" s="5" t="s">
        <v>21</v>
      </c>
      <c r="H15" s="5" t="s">
        <v>27</v>
      </c>
      <c r="I15" s="7" t="s">
        <v>16</v>
      </c>
      <c r="J15" s="5"/>
      <c r="K15" s="5" t="s">
        <v>23</v>
      </c>
    </row>
    <row r="16" customFormat="false" ht="15" hidden="false" customHeight="false" outlineLevel="0" collapsed="false">
      <c r="A16" s="2" t="s">
        <v>63</v>
      </c>
      <c r="B16" s="3" t="n">
        <v>46325</v>
      </c>
      <c r="C16" s="3" t="n">
        <v>46327</v>
      </c>
      <c r="D16" s="2" t="n">
        <f aca="false">C16-B16+1</f>
        <v>3</v>
      </c>
      <c r="E16" s="2" t="s">
        <v>64</v>
      </c>
      <c r="F16" s="2" t="s">
        <v>13</v>
      </c>
      <c r="G16" s="2" t="s">
        <v>14</v>
      </c>
      <c r="H16" s="2" t="s">
        <v>42</v>
      </c>
      <c r="I16" s="4" t="s">
        <v>16</v>
      </c>
      <c r="J16" s="4" t="s">
        <v>9</v>
      </c>
      <c r="K16" s="2" t="s">
        <v>17</v>
      </c>
    </row>
    <row r="17" customFormat="false" ht="15" hidden="false" customHeight="false" outlineLevel="0" collapsed="false">
      <c r="A17" s="5" t="s">
        <v>65</v>
      </c>
      <c r="B17" s="6" t="n">
        <v>46325</v>
      </c>
      <c r="C17" s="6" t="n">
        <v>46327</v>
      </c>
      <c r="D17" s="5" t="n">
        <f aca="false">C17-B17+1</f>
        <v>3</v>
      </c>
      <c r="E17" s="5" t="s">
        <v>66</v>
      </c>
      <c r="F17" s="5" t="s">
        <v>33</v>
      </c>
      <c r="G17" s="5" t="s">
        <v>21</v>
      </c>
      <c r="H17" s="5" t="s">
        <v>27</v>
      </c>
      <c r="I17" s="7" t="s">
        <v>16</v>
      </c>
      <c r="J17" s="5"/>
      <c r="K17" s="5" t="s">
        <v>23</v>
      </c>
    </row>
    <row r="18" customFormat="false" ht="15" hidden="false" customHeight="false" outlineLevel="0" collapsed="false">
      <c r="A18" s="5" t="s">
        <v>67</v>
      </c>
      <c r="B18" s="6" t="n">
        <v>46328</v>
      </c>
      <c r="C18" s="6" t="n">
        <v>46333</v>
      </c>
      <c r="D18" s="5" t="n">
        <f aca="false">C18-B18+1</f>
        <v>6</v>
      </c>
      <c r="E18" s="5" t="s">
        <v>68</v>
      </c>
      <c r="F18" s="5" t="s">
        <v>69</v>
      </c>
      <c r="G18" s="5" t="s">
        <v>21</v>
      </c>
      <c r="H18" s="5" t="s">
        <v>70</v>
      </c>
      <c r="I18" s="7" t="s">
        <v>16</v>
      </c>
      <c r="J18" s="5"/>
      <c r="K18" s="5" t="s">
        <v>23</v>
      </c>
    </row>
    <row r="19" customFormat="false" ht="15" hidden="false" customHeight="false" outlineLevel="0" collapsed="false">
      <c r="A19" s="5" t="s">
        <v>71</v>
      </c>
      <c r="B19" s="6" t="n">
        <v>46328</v>
      </c>
      <c r="C19" s="6" t="n">
        <v>46334</v>
      </c>
      <c r="D19" s="5" t="n">
        <f aca="false">C19-B19+1</f>
        <v>7</v>
      </c>
      <c r="E19" s="5" t="s">
        <v>49</v>
      </c>
      <c r="F19" s="5" t="s">
        <v>50</v>
      </c>
      <c r="G19" s="5" t="s">
        <v>21</v>
      </c>
      <c r="H19" s="5" t="s">
        <v>27</v>
      </c>
      <c r="I19" s="7" t="s">
        <v>16</v>
      </c>
      <c r="J19" s="5"/>
      <c r="K19" s="5" t="s">
        <v>23</v>
      </c>
    </row>
    <row r="20" customFormat="false" ht="15" hidden="false" customHeight="false" outlineLevel="0" collapsed="false">
      <c r="A20" s="5" t="s">
        <v>72</v>
      </c>
      <c r="B20" s="6" t="n">
        <v>46328</v>
      </c>
      <c r="C20" s="6" t="n">
        <v>46334</v>
      </c>
      <c r="D20" s="5" t="n">
        <f aca="false">C20-B20+1</f>
        <v>7</v>
      </c>
      <c r="E20" s="5" t="s">
        <v>73</v>
      </c>
      <c r="F20" s="5" t="s">
        <v>74</v>
      </c>
      <c r="G20" s="5" t="s">
        <v>21</v>
      </c>
      <c r="H20" s="5" t="s">
        <v>27</v>
      </c>
      <c r="I20" s="7" t="s">
        <v>16</v>
      </c>
      <c r="J20" s="5"/>
      <c r="K20" s="5" t="s">
        <v>23</v>
      </c>
    </row>
    <row r="21" customFormat="false" ht="15" hidden="false" customHeight="false" outlineLevel="0" collapsed="false">
      <c r="A21" s="5" t="s">
        <v>75</v>
      </c>
      <c r="B21" s="6" t="n">
        <v>46328</v>
      </c>
      <c r="C21" s="6" t="n">
        <v>46334</v>
      </c>
      <c r="D21" s="5" t="n">
        <f aca="false">C21-B21+1</f>
        <v>7</v>
      </c>
      <c r="E21" s="5" t="s">
        <v>76</v>
      </c>
      <c r="F21" s="5" t="s">
        <v>77</v>
      </c>
      <c r="G21" s="5" t="s">
        <v>21</v>
      </c>
      <c r="H21" s="5" t="s">
        <v>57</v>
      </c>
      <c r="I21" s="7" t="s">
        <v>16</v>
      </c>
      <c r="J21" s="5"/>
      <c r="K21" s="5" t="s">
        <v>23</v>
      </c>
    </row>
    <row r="22" customFormat="false" ht="15" hidden="false" customHeight="false" outlineLevel="0" collapsed="false">
      <c r="A22" s="5" t="s">
        <v>78</v>
      </c>
      <c r="B22" s="6" t="n">
        <v>46333</v>
      </c>
      <c r="C22" s="6" t="n">
        <v>46340</v>
      </c>
      <c r="D22" s="5" t="n">
        <f aca="false">C22-B22+1</f>
        <v>8</v>
      </c>
      <c r="E22" s="5" t="s">
        <v>79</v>
      </c>
      <c r="F22" s="5" t="s">
        <v>80</v>
      </c>
      <c r="G22" s="5" t="s">
        <v>21</v>
      </c>
      <c r="H22" s="5" t="s">
        <v>81</v>
      </c>
      <c r="I22" s="7" t="s">
        <v>16</v>
      </c>
      <c r="J22" s="5"/>
      <c r="K22" s="5" t="s">
        <v>23</v>
      </c>
    </row>
    <row r="23" customFormat="false" ht="15" hidden="false" customHeight="false" outlineLevel="0" collapsed="false">
      <c r="A23" s="5" t="s">
        <v>82</v>
      </c>
      <c r="B23" s="6" t="n">
        <v>46335</v>
      </c>
      <c r="C23" s="6" t="n">
        <v>46341</v>
      </c>
      <c r="D23" s="5" t="n">
        <f aca="false">C23-B23+1</f>
        <v>7</v>
      </c>
      <c r="E23" s="5" t="s">
        <v>55</v>
      </c>
      <c r="F23" s="5" t="s">
        <v>56</v>
      </c>
      <c r="G23" s="5" t="s">
        <v>21</v>
      </c>
      <c r="H23" s="5" t="s">
        <v>83</v>
      </c>
      <c r="I23" s="7" t="s">
        <v>16</v>
      </c>
      <c r="J23" s="5"/>
      <c r="K23" s="5" t="s">
        <v>23</v>
      </c>
    </row>
    <row r="24" customFormat="false" ht="15" hidden="false" customHeight="false" outlineLevel="0" collapsed="false">
      <c r="A24" s="5" t="s">
        <v>84</v>
      </c>
      <c r="B24" s="6" t="n">
        <v>46335</v>
      </c>
      <c r="C24" s="6" t="n">
        <v>46341</v>
      </c>
      <c r="D24" s="5" t="n">
        <f aca="false">C24-B24+1</f>
        <v>7</v>
      </c>
      <c r="E24" s="5" t="s">
        <v>85</v>
      </c>
      <c r="F24" s="5" t="s">
        <v>69</v>
      </c>
      <c r="G24" s="5" t="s">
        <v>21</v>
      </c>
      <c r="H24" s="5" t="s">
        <v>27</v>
      </c>
      <c r="I24" s="7" t="s">
        <v>16</v>
      </c>
      <c r="J24" s="5"/>
      <c r="K24" s="5" t="s">
        <v>23</v>
      </c>
    </row>
    <row r="25" customFormat="false" ht="15" hidden="false" customHeight="false" outlineLevel="0" collapsed="false">
      <c r="A25" s="5" t="s">
        <v>86</v>
      </c>
      <c r="B25" s="6" t="n">
        <v>46335</v>
      </c>
      <c r="C25" s="6" t="n">
        <v>46341</v>
      </c>
      <c r="D25" s="5" t="n">
        <f aca="false">C25-B25+1</f>
        <v>7</v>
      </c>
      <c r="E25" s="5" t="s">
        <v>87</v>
      </c>
      <c r="F25" s="5" t="s">
        <v>88</v>
      </c>
      <c r="G25" s="5" t="s">
        <v>21</v>
      </c>
      <c r="H25" s="5" t="s">
        <v>27</v>
      </c>
      <c r="I25" s="7" t="s">
        <v>16</v>
      </c>
      <c r="J25" s="5"/>
      <c r="K25" s="5" t="s">
        <v>23</v>
      </c>
    </row>
    <row r="26" customFormat="false" ht="15" hidden="false" customHeight="false" outlineLevel="0" collapsed="false">
      <c r="A26" s="5" t="s">
        <v>89</v>
      </c>
      <c r="B26" s="6" t="n">
        <v>46335</v>
      </c>
      <c r="C26" s="6" t="n">
        <v>46341</v>
      </c>
      <c r="D26" s="5" t="n">
        <f aca="false">C26-B26+1</f>
        <v>7</v>
      </c>
      <c r="E26" s="5" t="s">
        <v>90</v>
      </c>
      <c r="F26" s="5" t="s">
        <v>53</v>
      </c>
      <c r="G26" s="5" t="s">
        <v>21</v>
      </c>
      <c r="H26" s="5" t="s">
        <v>27</v>
      </c>
      <c r="I26" s="7" t="s">
        <v>16</v>
      </c>
      <c r="J26" s="5"/>
      <c r="K26" s="5" t="s">
        <v>23</v>
      </c>
    </row>
    <row r="27" customFormat="false" ht="15" hidden="false" customHeight="false" outlineLevel="0" collapsed="false">
      <c r="A27" s="5" t="s">
        <v>91</v>
      </c>
      <c r="B27" s="6" t="n">
        <v>46335</v>
      </c>
      <c r="C27" s="6" t="n">
        <v>46341</v>
      </c>
      <c r="D27" s="5" t="n">
        <f aca="false">C27-B27+1</f>
        <v>7</v>
      </c>
      <c r="E27" s="5" t="s">
        <v>92</v>
      </c>
      <c r="F27" s="5" t="s">
        <v>53</v>
      </c>
      <c r="G27" s="5" t="s">
        <v>21</v>
      </c>
      <c r="H27" s="5" t="s">
        <v>57</v>
      </c>
      <c r="I27" s="7" t="s">
        <v>16</v>
      </c>
      <c r="J27" s="5"/>
      <c r="K27" s="5" t="s">
        <v>23</v>
      </c>
    </row>
    <row r="28" customFormat="false" ht="15" hidden="false" customHeight="false" outlineLevel="0" collapsed="false">
      <c r="A28" s="5" t="s">
        <v>93</v>
      </c>
      <c r="B28" s="6" t="n">
        <v>46336</v>
      </c>
      <c r="C28" s="6" t="n">
        <v>46340</v>
      </c>
      <c r="D28" s="5" t="n">
        <f aca="false">C28-B28+1</f>
        <v>5</v>
      </c>
      <c r="E28" s="5" t="s">
        <v>94</v>
      </c>
      <c r="F28" s="5" t="s">
        <v>95</v>
      </c>
      <c r="G28" s="5" t="s">
        <v>21</v>
      </c>
      <c r="H28" s="5" t="s">
        <v>81</v>
      </c>
      <c r="I28" s="7" t="s">
        <v>16</v>
      </c>
      <c r="J28" s="5"/>
      <c r="K28" s="5" t="s">
        <v>23</v>
      </c>
    </row>
    <row r="29" customFormat="false" ht="15" hidden="false" customHeight="false" outlineLevel="0" collapsed="false">
      <c r="A29" s="5" t="s">
        <v>96</v>
      </c>
      <c r="B29" s="6" t="n">
        <v>46339</v>
      </c>
      <c r="C29" s="6" t="n">
        <v>46341</v>
      </c>
      <c r="D29" s="5" t="n">
        <f aca="false">C29-B29+1</f>
        <v>3</v>
      </c>
      <c r="E29" s="5" t="s">
        <v>19</v>
      </c>
      <c r="F29" s="5" t="s">
        <v>20</v>
      </c>
      <c r="G29" s="5" t="s">
        <v>21</v>
      </c>
      <c r="H29" s="5" t="s">
        <v>97</v>
      </c>
      <c r="I29" s="7" t="s">
        <v>16</v>
      </c>
      <c r="J29" s="5"/>
      <c r="K29" s="5" t="s">
        <v>23</v>
      </c>
    </row>
    <row r="30" customFormat="false" ht="15" hidden="false" customHeight="false" outlineLevel="0" collapsed="false">
      <c r="A30" s="5" t="s">
        <v>98</v>
      </c>
      <c r="B30" s="6" t="n">
        <v>46341</v>
      </c>
      <c r="C30" s="6" t="n">
        <v>46347</v>
      </c>
      <c r="D30" s="5" t="n">
        <f aca="false">C30-B30+1</f>
        <v>7</v>
      </c>
      <c r="E30" s="5" t="s">
        <v>99</v>
      </c>
      <c r="F30" s="5" t="s">
        <v>95</v>
      </c>
      <c r="G30" s="5" t="s">
        <v>21</v>
      </c>
      <c r="H30" s="5" t="s">
        <v>100</v>
      </c>
      <c r="I30" s="7" t="s">
        <v>16</v>
      </c>
      <c r="J30" s="5"/>
      <c r="K30" s="5" t="s">
        <v>23</v>
      </c>
    </row>
    <row r="31" customFormat="false" ht="15" hidden="false" customHeight="false" outlineLevel="0" collapsed="false">
      <c r="A31" s="5" t="s">
        <v>101</v>
      </c>
      <c r="B31" s="6" t="n">
        <v>46342</v>
      </c>
      <c r="C31" s="6" t="n">
        <v>46348</v>
      </c>
      <c r="D31" s="5" t="n">
        <f aca="false">C31-B31+1</f>
        <v>7</v>
      </c>
      <c r="E31" s="5" t="s">
        <v>102</v>
      </c>
      <c r="F31" s="5" t="s">
        <v>36</v>
      </c>
      <c r="G31" s="5" t="s">
        <v>21</v>
      </c>
      <c r="H31" s="5" t="s">
        <v>27</v>
      </c>
      <c r="I31" s="7" t="s">
        <v>16</v>
      </c>
      <c r="J31" s="5"/>
      <c r="K31" s="5" t="s">
        <v>23</v>
      </c>
    </row>
    <row r="32" customFormat="false" ht="15" hidden="false" customHeight="false" outlineLevel="0" collapsed="false">
      <c r="A32" s="5" t="s">
        <v>103</v>
      </c>
      <c r="B32" s="6" t="n">
        <v>46342</v>
      </c>
      <c r="C32" s="6" t="n">
        <v>46348</v>
      </c>
      <c r="D32" s="5" t="n">
        <f aca="false">C32-B32+1</f>
        <v>7</v>
      </c>
      <c r="E32" s="5" t="s">
        <v>104</v>
      </c>
      <c r="F32" s="5" t="s">
        <v>105</v>
      </c>
      <c r="G32" s="5" t="s">
        <v>21</v>
      </c>
      <c r="H32" s="5" t="s">
        <v>27</v>
      </c>
      <c r="I32" s="7" t="s">
        <v>16</v>
      </c>
      <c r="J32" s="5"/>
      <c r="K32" s="5" t="s">
        <v>23</v>
      </c>
    </row>
    <row r="33" customFormat="false" ht="15" hidden="false" customHeight="false" outlineLevel="0" collapsed="false">
      <c r="A33" s="5" t="s">
        <v>106</v>
      </c>
      <c r="B33" s="6" t="n">
        <v>46342</v>
      </c>
      <c r="C33" s="6" t="n">
        <v>46348</v>
      </c>
      <c r="D33" s="5" t="n">
        <f aca="false">C33-B33+1</f>
        <v>7</v>
      </c>
      <c r="E33" s="5" t="s">
        <v>107</v>
      </c>
      <c r="F33" s="5" t="s">
        <v>108</v>
      </c>
      <c r="G33" s="5" t="s">
        <v>21</v>
      </c>
      <c r="H33" s="5" t="s">
        <v>27</v>
      </c>
      <c r="I33" s="7" t="s">
        <v>16</v>
      </c>
      <c r="J33" s="5"/>
      <c r="K33" s="5" t="s">
        <v>23</v>
      </c>
    </row>
    <row r="34" customFormat="false" ht="15" hidden="false" customHeight="false" outlineLevel="0" collapsed="false">
      <c r="A34" s="5" t="s">
        <v>109</v>
      </c>
      <c r="B34" s="6" t="n">
        <v>46342</v>
      </c>
      <c r="C34" s="6" t="n">
        <v>46347</v>
      </c>
      <c r="D34" s="5" t="n">
        <f aca="false">C34-B34+1</f>
        <v>6</v>
      </c>
      <c r="E34" s="5" t="s">
        <v>110</v>
      </c>
      <c r="F34" s="5" t="s">
        <v>111</v>
      </c>
      <c r="G34" s="5" t="s">
        <v>21</v>
      </c>
      <c r="H34" s="5" t="s">
        <v>27</v>
      </c>
      <c r="I34" s="7" t="s">
        <v>16</v>
      </c>
      <c r="J34" s="5"/>
      <c r="K34" s="5" t="s">
        <v>23</v>
      </c>
    </row>
    <row r="35" customFormat="false" ht="15" hidden="false" customHeight="false" outlineLevel="0" collapsed="false">
      <c r="A35" s="5" t="s">
        <v>112</v>
      </c>
      <c r="B35" s="6" t="n">
        <v>46342</v>
      </c>
      <c r="C35" s="6" t="n">
        <v>46348</v>
      </c>
      <c r="D35" s="5" t="n">
        <f aca="false">C35-B35+1</f>
        <v>7</v>
      </c>
      <c r="E35" s="5" t="s">
        <v>113</v>
      </c>
      <c r="F35" s="5" t="s">
        <v>113</v>
      </c>
      <c r="G35" s="5" t="s">
        <v>21</v>
      </c>
      <c r="H35" s="5" t="s">
        <v>57</v>
      </c>
      <c r="I35" s="7" t="s">
        <v>16</v>
      </c>
      <c r="J35" s="5"/>
      <c r="K35" s="5" t="s">
        <v>23</v>
      </c>
    </row>
    <row r="36" customFormat="false" ht="15" hidden="false" customHeight="false" outlineLevel="0" collapsed="false">
      <c r="A36" s="5" t="s">
        <v>114</v>
      </c>
      <c r="B36" s="6" t="n">
        <v>46342</v>
      </c>
      <c r="C36" s="6" t="n">
        <v>46348</v>
      </c>
      <c r="D36" s="5" t="n">
        <f aca="false">C36-B36+1</f>
        <v>7</v>
      </c>
      <c r="E36" s="5" t="s">
        <v>115</v>
      </c>
      <c r="F36" s="5" t="s">
        <v>53</v>
      </c>
      <c r="G36" s="5" t="s">
        <v>21</v>
      </c>
      <c r="H36" s="5" t="s">
        <v>57</v>
      </c>
      <c r="I36" s="7" t="s">
        <v>16</v>
      </c>
      <c r="J36" s="5"/>
      <c r="K36" s="5" t="s">
        <v>23</v>
      </c>
    </row>
    <row r="37" customFormat="false" ht="15" hidden="false" customHeight="false" outlineLevel="0" collapsed="false">
      <c r="A37" s="5" t="s">
        <v>116</v>
      </c>
      <c r="B37" s="6" t="n">
        <v>46349</v>
      </c>
      <c r="C37" s="6" t="n">
        <v>46355</v>
      </c>
      <c r="D37" s="5" t="n">
        <f aca="false">C37-B37+1</f>
        <v>7</v>
      </c>
      <c r="E37" s="5" t="s">
        <v>117</v>
      </c>
      <c r="F37" s="5" t="s">
        <v>95</v>
      </c>
      <c r="G37" s="5" t="s">
        <v>21</v>
      </c>
      <c r="H37" s="5" t="s">
        <v>46</v>
      </c>
      <c r="I37" s="7" t="s">
        <v>16</v>
      </c>
      <c r="J37" s="5"/>
      <c r="K37" s="5" t="s">
        <v>47</v>
      </c>
    </row>
    <row r="38" customFormat="false" ht="15" hidden="false" customHeight="false" outlineLevel="0" collapsed="false">
      <c r="A38" s="5" t="s">
        <v>118</v>
      </c>
      <c r="B38" s="6" t="n">
        <v>46359</v>
      </c>
      <c r="C38" s="6" t="n">
        <v>46362</v>
      </c>
      <c r="D38" s="5" t="n">
        <f aca="false">C38-B38+1</f>
        <v>4</v>
      </c>
      <c r="E38" s="5" t="s">
        <v>119</v>
      </c>
      <c r="F38" s="5" t="s">
        <v>20</v>
      </c>
      <c r="G38" s="5" t="s">
        <v>21</v>
      </c>
      <c r="H38" s="5" t="s">
        <v>120</v>
      </c>
      <c r="I38" s="7" t="s">
        <v>16</v>
      </c>
      <c r="J38" s="5"/>
      <c r="K38" s="5" t="s">
        <v>23</v>
      </c>
    </row>
    <row r="39" customFormat="false" ht="15" hidden="false" customHeight="false" outlineLevel="0" collapsed="false">
      <c r="A39" s="5" t="s">
        <v>121</v>
      </c>
      <c r="B39" s="6" t="n">
        <v>46363</v>
      </c>
      <c r="C39" s="6" t="n">
        <v>46369</v>
      </c>
      <c r="D39" s="5" t="n">
        <f aca="false">C39-B39+1</f>
        <v>7</v>
      </c>
      <c r="E39" s="5" t="s">
        <v>122</v>
      </c>
      <c r="F39" s="5" t="s">
        <v>20</v>
      </c>
      <c r="G39" s="5" t="s">
        <v>21</v>
      </c>
      <c r="H39" s="5" t="s">
        <v>120</v>
      </c>
      <c r="I39" s="7" t="s">
        <v>16</v>
      </c>
      <c r="J39" s="5"/>
      <c r="K39" s="5" t="s">
        <v>47</v>
      </c>
    </row>
    <row r="40" customFormat="false" ht="15" hidden="false" customHeight="false" outlineLevel="0" collapsed="false">
      <c r="A40" s="5" t="s">
        <v>123</v>
      </c>
      <c r="B40" s="6" t="n">
        <v>46373</v>
      </c>
      <c r="C40" s="6" t="n">
        <v>46376</v>
      </c>
      <c r="D40" s="5" t="n">
        <f aca="false">C40-B40+1</f>
        <v>4</v>
      </c>
      <c r="E40" s="5" t="s">
        <v>38</v>
      </c>
      <c r="F40" s="5"/>
      <c r="G40" s="5" t="s">
        <v>21</v>
      </c>
      <c r="H40" s="5" t="s">
        <v>39</v>
      </c>
      <c r="I40" s="7" t="s">
        <v>16</v>
      </c>
      <c r="J40" s="5"/>
      <c r="K40" s="5" t="s">
        <v>23</v>
      </c>
    </row>
    <row r="41" customFormat="false" ht="15" hidden="false" customHeight="false" outlineLevel="0" collapsed="false">
      <c r="A41" s="5" t="s">
        <v>124</v>
      </c>
      <c r="B41" s="6" t="n">
        <v>46374</v>
      </c>
      <c r="C41" s="6" t="n">
        <v>46376</v>
      </c>
      <c r="D41" s="5" t="n">
        <f aca="false">C41-B41+1</f>
        <v>3</v>
      </c>
      <c r="E41" s="5" t="s">
        <v>125</v>
      </c>
      <c r="F41" s="5" t="s">
        <v>126</v>
      </c>
      <c r="G41" s="5" t="s">
        <v>21</v>
      </c>
      <c r="H41" s="5" t="s">
        <v>81</v>
      </c>
      <c r="I41" s="7" t="s">
        <v>16</v>
      </c>
      <c r="J41" s="5"/>
      <c r="K41" s="5" t="s">
        <v>23</v>
      </c>
    </row>
  </sheetData>
  <autoFilter ref="A1:K41"/>
  <hyperlinks>
    <hyperlink ref="I2" r:id="rId1" display="Fiche"/>
    <hyperlink ref="J2" r:id="rId2" display="Affiche"/>
    <hyperlink ref="I3" r:id="rId3" display="Fiche"/>
    <hyperlink ref="I4" r:id="rId4" display="Fiche"/>
    <hyperlink ref="I5" r:id="rId5" display="Fiche"/>
    <hyperlink ref="I6" r:id="rId6" display="Fiche"/>
    <hyperlink ref="I7" r:id="rId7" display="Fiche"/>
    <hyperlink ref="I8" r:id="rId8" display="Fiche"/>
    <hyperlink ref="I9" r:id="rId9" display="Fiche"/>
    <hyperlink ref="J9" r:id="rId10" display="Affiche"/>
    <hyperlink ref="I10" r:id="rId11" display="Fiche"/>
    <hyperlink ref="I11" r:id="rId12" display="Fiche"/>
    <hyperlink ref="I12" r:id="rId13" display="Fiche"/>
    <hyperlink ref="I13" r:id="rId14" display="Fiche"/>
    <hyperlink ref="I14" r:id="rId15" display="Fiche"/>
    <hyperlink ref="I15" r:id="rId16" display="Fiche"/>
    <hyperlink ref="I16" r:id="rId17" display="Fiche"/>
    <hyperlink ref="J16" r:id="rId18" display="Affiche"/>
    <hyperlink ref="I17" r:id="rId19" display="Fiche"/>
    <hyperlink ref="I18" r:id="rId20" display="Fiche"/>
    <hyperlink ref="I19" r:id="rId21" display="Fiche"/>
    <hyperlink ref="I20" r:id="rId22" display="Fiche"/>
    <hyperlink ref="I21" r:id="rId23" display="Fiche"/>
    <hyperlink ref="I22" r:id="rId24" display="Fiche"/>
    <hyperlink ref="I23" r:id="rId25" display="Fiche"/>
    <hyperlink ref="I24" r:id="rId26" display="Fiche"/>
    <hyperlink ref="I25" r:id="rId27" display="Fiche"/>
    <hyperlink ref="I26" r:id="rId28" display="Fiche"/>
    <hyperlink ref="I27" r:id="rId29" display="Fiche"/>
    <hyperlink ref="I28" r:id="rId30" display="Fiche"/>
    <hyperlink ref="I29" r:id="rId31" display="Fiche"/>
    <hyperlink ref="I30" r:id="rId32" display="Fiche"/>
    <hyperlink ref="I31" r:id="rId33" display="Fiche"/>
    <hyperlink ref="I32" r:id="rId34" display="Fiche"/>
    <hyperlink ref="I33" r:id="rId35" display="Fiche"/>
    <hyperlink ref="I34" r:id="rId36" display="Fiche"/>
    <hyperlink ref="I35" r:id="rId37" display="Fiche"/>
    <hyperlink ref="I36" r:id="rId38" display="Fiche"/>
    <hyperlink ref="I37" r:id="rId39" display="Fiche"/>
    <hyperlink ref="I38" r:id="rId40" display="Fiche"/>
    <hyperlink ref="I39" r:id="rId41" display="Fiche"/>
    <hyperlink ref="I40" r:id="rId42" display="Fiche"/>
    <hyperlink ref="I41" r:id="rId43" display="Fich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</cols>
  <sheetData>
    <row r="1" customFormat="false" ht="16.15" hidden="false" customHeight="false" outlineLevel="0" collapsed="false">
      <c r="A1" s="8" t="s">
        <v>127</v>
      </c>
    </row>
    <row r="2" customFormat="false" ht="15" hidden="false" customHeight="false" outlineLevel="0" collapsed="false">
      <c r="A2" s="9" t="s">
        <v>128</v>
      </c>
    </row>
    <row r="4" customFormat="false" ht="15" hidden="false" customHeight="false" outlineLevel="0" collapsed="false">
      <c r="A4" s="10" t="s">
        <v>129</v>
      </c>
      <c r="B4" s="10" t="s">
        <v>130</v>
      </c>
    </row>
    <row r="5" customFormat="false" ht="15" hidden="false" customHeight="false" outlineLevel="0" collapsed="false">
      <c r="A5" s="11" t="s">
        <v>131</v>
      </c>
      <c r="B5" s="11" t="n">
        <f aca="false">COUNTA(Tournois!A2:A41)</f>
        <v>40</v>
      </c>
    </row>
    <row r="6" customFormat="false" ht="15" hidden="false" customHeight="false" outlineLevel="0" collapsed="false">
      <c r="A6" s="11" t="s">
        <v>132</v>
      </c>
      <c r="B6" s="11" t="n">
        <f aca="false">COUNTIF(Tournois!G2:G41,"TN")</f>
        <v>3</v>
      </c>
    </row>
    <row r="7" customFormat="false" ht="15" hidden="false" customHeight="false" outlineLevel="0" collapsed="false">
      <c r="A7" s="11" t="s">
        <v>133</v>
      </c>
      <c r="B7" s="11" t="n">
        <f aca="false">COUNTIF(Tournois!G2:G41,"INT")</f>
        <v>37</v>
      </c>
    </row>
    <row r="9" customFormat="false" ht="15" hidden="false" customHeight="false" outlineLevel="0" collapsed="false">
      <c r="A9" s="10" t="s">
        <v>134</v>
      </c>
      <c r="B9" s="10" t="s">
        <v>135</v>
      </c>
    </row>
    <row r="10" customFormat="false" ht="15" hidden="false" customHeight="false" outlineLevel="0" collapsed="false">
      <c r="A10" s="11" t="s">
        <v>70</v>
      </c>
      <c r="B10" s="11" t="n">
        <f aca="false">COUNTIF(Tournois!H2:H41,A10)</f>
        <v>1</v>
      </c>
    </row>
    <row r="11" customFormat="false" ht="15" hidden="false" customHeight="false" outlineLevel="0" collapsed="false">
      <c r="A11" s="11" t="s">
        <v>97</v>
      </c>
      <c r="B11" s="11" t="n">
        <f aca="false">COUNTIF(Tournois!H2:H41,A11)</f>
        <v>1</v>
      </c>
    </row>
    <row r="12" customFormat="false" ht="15" hidden="false" customHeight="false" outlineLevel="0" collapsed="false">
      <c r="A12" s="11" t="s">
        <v>27</v>
      </c>
      <c r="B12" s="11" t="n">
        <f aca="false">COUNTIF(Tournois!H2:H41,A12)</f>
        <v>17</v>
      </c>
    </row>
    <row r="13" customFormat="false" ht="15" hidden="false" customHeight="false" outlineLevel="0" collapsed="false">
      <c r="A13" s="11" t="s">
        <v>22</v>
      </c>
      <c r="B13" s="11" t="n">
        <f aca="false">COUNTIF(Tournois!H2:H41,A13)</f>
        <v>2</v>
      </c>
    </row>
    <row r="14" customFormat="false" ht="15" hidden="false" customHeight="false" outlineLevel="0" collapsed="false">
      <c r="A14" s="11" t="s">
        <v>100</v>
      </c>
      <c r="B14" s="11" t="n">
        <f aca="false">COUNTIF(Tournois!H2:H41,A14)</f>
        <v>1</v>
      </c>
    </row>
    <row r="15" customFormat="false" ht="15" hidden="false" customHeight="false" outlineLevel="0" collapsed="false">
      <c r="A15" s="11" t="s">
        <v>57</v>
      </c>
      <c r="B15" s="11" t="n">
        <f aca="false">COUNTIF(Tournois!H2:H41,A15)</f>
        <v>5</v>
      </c>
    </row>
    <row r="16" customFormat="false" ht="15" hidden="false" customHeight="false" outlineLevel="0" collapsed="false">
      <c r="A16" s="11" t="s">
        <v>42</v>
      </c>
      <c r="B16" s="11" t="n">
        <f aca="false">COUNTIF(Tournois!H2:H41,A16)</f>
        <v>2</v>
      </c>
    </row>
    <row r="17" customFormat="false" ht="15" hidden="false" customHeight="false" outlineLevel="0" collapsed="false">
      <c r="A17" s="11" t="s">
        <v>120</v>
      </c>
      <c r="B17" s="11" t="n">
        <f aca="false">COUNTIF(Tournois!H2:H41,A17)</f>
        <v>2</v>
      </c>
    </row>
    <row r="18" customFormat="false" ht="15" hidden="false" customHeight="false" outlineLevel="0" collapsed="false">
      <c r="A18" s="11" t="s">
        <v>39</v>
      </c>
      <c r="B18" s="11" t="n">
        <f aca="false">COUNTIF(Tournois!H2:H41,A18)</f>
        <v>2</v>
      </c>
    </row>
    <row r="19" customFormat="false" ht="15" hidden="false" customHeight="false" outlineLevel="0" collapsed="false">
      <c r="A19" s="11" t="s">
        <v>81</v>
      </c>
      <c r="B19" s="11" t="n">
        <f aca="false">COUNTIF(Tournois!H2:H41,A19)</f>
        <v>3</v>
      </c>
    </row>
    <row r="20" customFormat="false" ht="15" hidden="false" customHeight="false" outlineLevel="0" collapsed="false">
      <c r="A20" s="11" t="s">
        <v>46</v>
      </c>
      <c r="B20" s="11" t="n">
        <f aca="false">COUNTIF(Tournois!H2:H41,A20)</f>
        <v>2</v>
      </c>
    </row>
    <row r="21" customFormat="false" ht="15" hidden="false" customHeight="false" outlineLevel="0" collapsed="false">
      <c r="A21" s="11" t="s">
        <v>83</v>
      </c>
      <c r="B21" s="11" t="n">
        <f aca="false">COUNTIF(Tournois!H2:H41,A21)</f>
        <v>1</v>
      </c>
    </row>
    <row r="22" customFormat="false" ht="15" hidden="false" customHeight="false" outlineLevel="0" collapsed="false">
      <c r="A22" s="11" t="s">
        <v>15</v>
      </c>
      <c r="B22" s="11" t="n">
        <f aca="false">COUNTIF(Tournois!H2:H41,A22)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2026-10-24T13:28:59Z</dcterms:created>
  <dc:creator>openpyxl</dc:creator>
  <dc:description/>
  <dc:language>en-US</dc:language>
  <cp:lastModifiedBy/>
  <dcterms:modified xsi:type="dcterms:W3CDTF">2026-10-24T13:28:59Z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